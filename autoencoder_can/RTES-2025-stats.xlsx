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c\Downloads\"/>
    </mc:Choice>
  </mc:AlternateContent>
  <xr:revisionPtr revIDLastSave="0" documentId="8_{BC3FC439-256E-4D72-B180-D13B41328947}" xr6:coauthVersionLast="47" xr6:coauthVersionMax="47" xr10:uidLastSave="{00000000-0000-0000-0000-000000000000}"/>
  <bookViews>
    <workbookView xWindow="-80" yWindow="-80" windowWidth="19360" windowHeight="10960" activeTab="8" xr2:uid="{6525883F-AC12-4DF1-BF45-2D135FA02AB9}"/>
  </bookViews>
  <sheets>
    <sheet name="combined" sheetId="2" r:id="rId1"/>
    <sheet name="dos" sheetId="3" r:id="rId2"/>
    <sheet name="fuzzy" sheetId="4" r:id="rId3"/>
    <sheet name="gear" sheetId="5" r:id="rId4"/>
    <sheet name="interval" sheetId="6" r:id="rId5"/>
    <sheet name="rpm" sheetId="7" r:id="rId6"/>
    <sheet name="speed" sheetId="8" r:id="rId7"/>
    <sheet name="standstill" sheetId="9" r:id="rId8"/>
    <sheet name="findings" sheetId="1" r:id="rId9"/>
  </sheets>
  <definedNames>
    <definedName name="ExternalData_1" localSheetId="0" hidden="1">combined!$A$1:$I$69</definedName>
    <definedName name="ExternalData_1" localSheetId="1" hidden="1">dos!$A$1:$I$69</definedName>
    <definedName name="ExternalData_1" localSheetId="2" hidden="1">fuzzy!$A$1:$I$69</definedName>
    <definedName name="ExternalData_1" localSheetId="3" hidden="1">gear!$A$1:$I$69</definedName>
    <definedName name="ExternalData_1" localSheetId="4" hidden="1">interval!$A$1:$I$69</definedName>
    <definedName name="ExternalData_1" localSheetId="5" hidden="1">rpm!$A$1:$I$69</definedName>
    <definedName name="ExternalData_1" localSheetId="6" hidden="1">speed!$A$1:$I$69</definedName>
    <definedName name="ExternalData_1" localSheetId="7" hidden="1">standstill!$A$1:$I$69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W23" i="1"/>
  <c r="X23" i="1"/>
  <c r="Y23" i="1"/>
  <c r="V22" i="1"/>
  <c r="W22" i="1"/>
  <c r="X22" i="1"/>
  <c r="Y22" i="1"/>
  <c r="V21" i="1"/>
  <c r="W21" i="1"/>
  <c r="X21" i="1"/>
  <c r="Y21" i="1"/>
  <c r="V20" i="1"/>
  <c r="W20" i="1"/>
  <c r="X20" i="1"/>
  <c r="Y20" i="1"/>
  <c r="V19" i="1"/>
  <c r="W19" i="1"/>
  <c r="X19" i="1"/>
  <c r="Y19" i="1"/>
  <c r="V18" i="1"/>
  <c r="W18" i="1"/>
  <c r="X18" i="1"/>
  <c r="Y18" i="1"/>
  <c r="V17" i="1"/>
  <c r="W17" i="1"/>
  <c r="X17" i="1"/>
  <c r="Y17" i="1"/>
  <c r="V16" i="1"/>
  <c r="W16" i="1"/>
  <c r="X16" i="1"/>
  <c r="Y16" i="1"/>
  <c r="U23" i="1"/>
  <c r="U22" i="1"/>
  <c r="U21" i="1"/>
  <c r="U20" i="1"/>
  <c r="U19" i="1"/>
  <c r="U18" i="1"/>
  <c r="U17" i="1"/>
  <c r="U16" i="1"/>
  <c r="V15" i="1"/>
  <c r="W15" i="1"/>
  <c r="X15" i="1"/>
  <c r="Y15" i="1"/>
  <c r="U15" i="1"/>
  <c r="V9" i="1"/>
  <c r="W9" i="1"/>
  <c r="X9" i="1"/>
  <c r="Y9" i="1"/>
  <c r="V8" i="1"/>
  <c r="W8" i="1"/>
  <c r="X8" i="1"/>
  <c r="Y8" i="1"/>
  <c r="V7" i="1"/>
  <c r="W7" i="1"/>
  <c r="X7" i="1"/>
  <c r="Y7" i="1"/>
  <c r="V6" i="1"/>
  <c r="W6" i="1"/>
  <c r="X6" i="1"/>
  <c r="Y6" i="1"/>
  <c r="V5" i="1"/>
  <c r="W5" i="1"/>
  <c r="X5" i="1"/>
  <c r="Y5" i="1"/>
  <c r="V4" i="1"/>
  <c r="W4" i="1"/>
  <c r="X4" i="1"/>
  <c r="Y4" i="1"/>
  <c r="V3" i="1"/>
  <c r="W3" i="1"/>
  <c r="X3" i="1"/>
  <c r="Y3" i="1"/>
  <c r="U9" i="1"/>
  <c r="U8" i="1"/>
  <c r="U7" i="1"/>
  <c r="U6" i="1"/>
  <c r="U5" i="1"/>
  <c r="U4" i="1"/>
  <c r="U3" i="1"/>
  <c r="V2" i="1"/>
  <c r="W2" i="1"/>
  <c r="X2" i="1"/>
  <c r="Y2" i="1"/>
  <c r="U2" i="1"/>
  <c r="V1" i="1"/>
  <c r="W1" i="1"/>
  <c r="X1" i="1"/>
  <c r="Y1" i="1"/>
  <c r="U1" i="1"/>
  <c r="L9" i="1"/>
  <c r="M9" i="1"/>
  <c r="N9" i="1"/>
  <c r="O9" i="1"/>
  <c r="P9" i="1"/>
  <c r="Q9" i="1"/>
  <c r="R9" i="1"/>
  <c r="K9" i="1"/>
  <c r="L8" i="1"/>
  <c r="M8" i="1"/>
  <c r="N8" i="1"/>
  <c r="O8" i="1"/>
  <c r="P8" i="1"/>
  <c r="Q8" i="1"/>
  <c r="R8" i="1"/>
  <c r="K8" i="1"/>
  <c r="L7" i="1"/>
  <c r="M7" i="1"/>
  <c r="N7" i="1"/>
  <c r="O7" i="1"/>
  <c r="P7" i="1"/>
  <c r="Q7" i="1"/>
  <c r="R7" i="1"/>
  <c r="K7" i="1"/>
  <c r="L6" i="1"/>
  <c r="M6" i="1"/>
  <c r="N6" i="1"/>
  <c r="O6" i="1"/>
  <c r="P6" i="1"/>
  <c r="Q6" i="1"/>
  <c r="R6" i="1"/>
  <c r="K6" i="1"/>
  <c r="L5" i="1"/>
  <c r="M5" i="1"/>
  <c r="N5" i="1"/>
  <c r="O5" i="1"/>
  <c r="P5" i="1"/>
  <c r="Q5" i="1"/>
  <c r="R5" i="1"/>
  <c r="K5" i="1"/>
  <c r="L4" i="1"/>
  <c r="M4" i="1"/>
  <c r="N4" i="1"/>
  <c r="O4" i="1"/>
  <c r="P4" i="1"/>
  <c r="Q4" i="1"/>
  <c r="R4" i="1"/>
  <c r="K4" i="1"/>
  <c r="L3" i="1"/>
  <c r="M3" i="1"/>
  <c r="N3" i="1"/>
  <c r="O3" i="1"/>
  <c r="P3" i="1"/>
  <c r="Q3" i="1"/>
  <c r="R3" i="1"/>
  <c r="K3" i="1"/>
  <c r="L1" i="1"/>
  <c r="M1" i="1"/>
  <c r="N1" i="1"/>
  <c r="O1" i="1"/>
  <c r="P1" i="1"/>
  <c r="Q1" i="1"/>
  <c r="R1" i="1"/>
  <c r="K1" i="1"/>
  <c r="L2" i="1"/>
  <c r="M2" i="1"/>
  <c r="N2" i="1"/>
  <c r="O2" i="1"/>
  <c r="P2" i="1"/>
  <c r="Q2" i="1"/>
  <c r="R2" i="1"/>
  <c r="K2" i="1"/>
  <c r="B1" i="1"/>
  <c r="B2" i="1"/>
  <c r="B3" i="1"/>
  <c r="B4" i="1"/>
  <c r="B5" i="1"/>
  <c r="B6" i="1"/>
  <c r="B7" i="1"/>
  <c r="B8" i="1"/>
  <c r="B9" i="1"/>
  <c r="D1" i="1"/>
  <c r="D2" i="1"/>
  <c r="D3" i="1"/>
  <c r="D4" i="1"/>
  <c r="D5" i="1"/>
  <c r="D6" i="1"/>
  <c r="D7" i="1"/>
  <c r="D8" i="1"/>
  <c r="D9" i="1"/>
  <c r="C1" i="1"/>
  <c r="C2" i="1"/>
  <c r="C3" i="1"/>
  <c r="C4" i="1"/>
  <c r="C5" i="1"/>
  <c r="C6" i="1"/>
  <c r="C7" i="1"/>
  <c r="C8" i="1"/>
  <c r="C9" i="1"/>
  <c r="E9" i="1"/>
  <c r="F9" i="1"/>
  <c r="G9" i="1"/>
  <c r="E8" i="1"/>
  <c r="F8" i="1"/>
  <c r="G8" i="1"/>
  <c r="E7" i="1"/>
  <c r="F7" i="1"/>
  <c r="G7" i="1"/>
  <c r="E6" i="1"/>
  <c r="F6" i="1"/>
  <c r="G6" i="1"/>
  <c r="E5" i="1"/>
  <c r="F5" i="1"/>
  <c r="G5" i="1"/>
  <c r="E4" i="1"/>
  <c r="F4" i="1"/>
  <c r="G4" i="1"/>
  <c r="E3" i="1"/>
  <c r="F3" i="1"/>
  <c r="G3" i="1"/>
  <c r="E2" i="1"/>
  <c r="F2" i="1"/>
  <c r="G2" i="1"/>
  <c r="E1" i="1"/>
  <c r="F1" i="1"/>
  <c r="G1" i="1"/>
  <c r="N70" i="2"/>
  <c r="N70" i="3"/>
  <c r="N70" i="4"/>
  <c r="N70" i="5"/>
  <c r="N70" i="6"/>
  <c r="N70" i="7"/>
  <c r="N70" i="8"/>
  <c r="N70" i="9"/>
  <c r="M70" i="2"/>
  <c r="M70" i="3"/>
  <c r="M70" i="4"/>
  <c r="M70" i="5"/>
  <c r="M70" i="6"/>
  <c r="M70" i="7"/>
  <c r="M70" i="8"/>
  <c r="M70" i="9"/>
  <c r="L70" i="2"/>
  <c r="L70" i="3"/>
  <c r="L70" i="4"/>
  <c r="L70" i="5"/>
  <c r="L70" i="6"/>
  <c r="L70" i="7"/>
  <c r="L70" i="8"/>
  <c r="L70" i="9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2" i="2"/>
  <c r="L2" i="3"/>
  <c r="L2" i="4"/>
  <c r="L2" i="5"/>
  <c r="L2" i="6"/>
  <c r="L2" i="7"/>
  <c r="L2" i="8"/>
  <c r="L2" i="9"/>
  <c r="M2" i="2"/>
  <c r="M2" i="3"/>
  <c r="M2" i="4"/>
  <c r="M2" i="5"/>
  <c r="M2" i="6"/>
  <c r="M2" i="7"/>
  <c r="M2" i="8"/>
  <c r="M2" i="9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K42" i="3" s="1" a="1"/>
  <c r="K42" i="3" s="1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K58" i="3" s="1" a="1"/>
  <c r="K58" i="3" s="1"/>
  <c r="J59" i="3"/>
  <c r="J60" i="3"/>
  <c r="J61" i="3"/>
  <c r="J62" i="3"/>
  <c r="J63" i="3"/>
  <c r="J64" i="3"/>
  <c r="J65" i="3"/>
  <c r="J66" i="3"/>
  <c r="J67" i="3"/>
  <c r="J68" i="3"/>
  <c r="J69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K22" i="5" s="1" a="1"/>
  <c r="K22" i="5" s="1"/>
  <c r="J23" i="5"/>
  <c r="J24" i="5"/>
  <c r="J25" i="5"/>
  <c r="J26" i="5"/>
  <c r="K26" i="5" s="1" a="1"/>
  <c r="K26" i="5" s="1"/>
  <c r="J27" i="5"/>
  <c r="J28" i="5"/>
  <c r="J29" i="5"/>
  <c r="J30" i="5"/>
  <c r="J31" i="5"/>
  <c r="J32" i="5"/>
  <c r="J33" i="5"/>
  <c r="J34" i="5"/>
  <c r="J35" i="5"/>
  <c r="J36" i="5"/>
  <c r="J37" i="5"/>
  <c r="J38" i="5"/>
  <c r="K38" i="5" s="1" a="1"/>
  <c r="K38" i="5" s="1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K54" i="5" s="1" a="1"/>
  <c r="K54" i="5" s="1"/>
  <c r="J55" i="5"/>
  <c r="J56" i="5"/>
  <c r="J57" i="5"/>
  <c r="J58" i="5"/>
  <c r="K58" i="5" s="1" a="1"/>
  <c r="K58" i="5" s="1"/>
  <c r="J59" i="5"/>
  <c r="J60" i="5"/>
  <c r="J61" i="5"/>
  <c r="J62" i="5"/>
  <c r="J63" i="5"/>
  <c r="J64" i="5"/>
  <c r="J65" i="5"/>
  <c r="J66" i="5"/>
  <c r="J67" i="5"/>
  <c r="J68" i="5"/>
  <c r="J69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3" i="7"/>
  <c r="J4" i="7"/>
  <c r="K11" i="7" s="1" a="1"/>
  <c r="K11" i="7" s="1"/>
  <c r="J5" i="7"/>
  <c r="J6" i="7"/>
  <c r="J7" i="7"/>
  <c r="J8" i="7"/>
  <c r="J9" i="7"/>
  <c r="J10" i="7"/>
  <c r="J11" i="7"/>
  <c r="J12" i="7"/>
  <c r="J13" i="7"/>
  <c r="J14" i="7"/>
  <c r="K14" i="7" s="1" a="1"/>
  <c r="K14" i="7" s="1"/>
  <c r="J15" i="7"/>
  <c r="J16" i="7"/>
  <c r="K16" i="7" s="1" a="1"/>
  <c r="K16" i="7" s="1"/>
  <c r="J17" i="7"/>
  <c r="J18" i="7"/>
  <c r="J19" i="7"/>
  <c r="J20" i="7"/>
  <c r="K20" i="7" s="1" a="1"/>
  <c r="K20" i="7" s="1"/>
  <c r="J21" i="7"/>
  <c r="J22" i="7"/>
  <c r="J23" i="7"/>
  <c r="J24" i="7"/>
  <c r="J25" i="7"/>
  <c r="J26" i="7"/>
  <c r="J27" i="7"/>
  <c r="J28" i="7"/>
  <c r="J29" i="7"/>
  <c r="J30" i="7"/>
  <c r="J31" i="7"/>
  <c r="J32" i="7"/>
  <c r="K32" i="7" s="1" a="1"/>
  <c r="K32" i="7" s="1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K48" i="7" s="1" a="1"/>
  <c r="K48" i="7" s="1"/>
  <c r="J49" i="7"/>
  <c r="J50" i="7"/>
  <c r="J51" i="7"/>
  <c r="J52" i="7"/>
  <c r="K52" i="7" s="1" a="1"/>
  <c r="K52" i="7" s="1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3" i="9"/>
  <c r="J4" i="9"/>
  <c r="J5" i="9"/>
  <c r="J6" i="9"/>
  <c r="J7" i="9"/>
  <c r="J8" i="9"/>
  <c r="K8" i="9" s="1" a="1"/>
  <c r="K8" i="9" s="1"/>
  <c r="J9" i="9"/>
  <c r="J10" i="9"/>
  <c r="K10" i="9" s="1" a="1"/>
  <c r="K10" i="9" s="1"/>
  <c r="J11" i="9"/>
  <c r="J12" i="9"/>
  <c r="J13" i="9"/>
  <c r="J14" i="9"/>
  <c r="K14" i="9" s="1" a="1"/>
  <c r="K14" i="9" s="1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K30" i="9" s="1" a="1"/>
  <c r="K30" i="9" s="1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K46" i="9" s="1" a="1"/>
  <c r="K46" i="9" s="1"/>
  <c r="J47" i="9"/>
  <c r="J48" i="9"/>
  <c r="J49" i="9"/>
  <c r="J50" i="9"/>
  <c r="J51" i="9"/>
  <c r="J52" i="9"/>
  <c r="J53" i="9"/>
  <c r="J54" i="9"/>
  <c r="J55" i="9"/>
  <c r="J56" i="9"/>
  <c r="J57" i="9"/>
  <c r="J58" i="9"/>
  <c r="K58" i="9" s="1" a="1"/>
  <c r="K58" i="9" s="1"/>
  <c r="J59" i="9"/>
  <c r="J60" i="9"/>
  <c r="J61" i="9"/>
  <c r="J62" i="9"/>
  <c r="K62" i="9" s="1" a="1"/>
  <c r="K62" i="9" s="1"/>
  <c r="J63" i="9"/>
  <c r="J64" i="9"/>
  <c r="J65" i="9"/>
  <c r="J66" i="9"/>
  <c r="J67" i="9"/>
  <c r="J68" i="9"/>
  <c r="J69" i="9"/>
  <c r="J2" i="2"/>
  <c r="K2" i="2" s="1" a="1"/>
  <c r="K2" i="2" s="1"/>
  <c r="J2" i="3"/>
  <c r="K5" i="3" s="1" a="1"/>
  <c r="K5" i="3" s="1"/>
  <c r="J2" i="4"/>
  <c r="J2" i="5"/>
  <c r="K5" i="5" s="1" a="1"/>
  <c r="K5" i="5" s="1"/>
  <c r="J2" i="6"/>
  <c r="K12" i="6" s="1" a="1"/>
  <c r="K12" i="6" s="1"/>
  <c r="J2" i="7"/>
  <c r="K5" i="7" s="1" a="1"/>
  <c r="K5" i="7" s="1"/>
  <c r="J2" i="8"/>
  <c r="K8" i="8" s="1" a="1"/>
  <c r="K8" i="8" s="1"/>
  <c r="J2" i="9"/>
  <c r="K5" i="9" s="1" a="1"/>
  <c r="K5" i="9" s="1"/>
  <c r="S26" i="3"/>
  <c r="R26" i="3"/>
  <c r="Q26" i="3"/>
  <c r="P26" i="3"/>
  <c r="O26" i="3"/>
  <c r="S26" i="4"/>
  <c r="R26" i="4"/>
  <c r="Q26" i="4"/>
  <c r="P26" i="4"/>
  <c r="O26" i="4"/>
  <c r="S26" i="5"/>
  <c r="R26" i="5"/>
  <c r="Q26" i="5"/>
  <c r="P26" i="5"/>
  <c r="O26" i="5"/>
  <c r="S26" i="6"/>
  <c r="R26" i="6"/>
  <c r="Q26" i="6"/>
  <c r="P26" i="6"/>
  <c r="O26" i="6"/>
  <c r="S26" i="7"/>
  <c r="R26" i="7"/>
  <c r="Q26" i="7"/>
  <c r="P26" i="7"/>
  <c r="O26" i="7"/>
  <c r="S26" i="8"/>
  <c r="R26" i="8"/>
  <c r="Q26" i="8"/>
  <c r="P26" i="8"/>
  <c r="O26" i="8"/>
  <c r="S26" i="9"/>
  <c r="R26" i="9"/>
  <c r="Q26" i="9"/>
  <c r="P26" i="9"/>
  <c r="O26" i="9"/>
  <c r="S26" i="2"/>
  <c r="R26" i="2"/>
  <c r="Q26" i="2"/>
  <c r="P26" i="2"/>
  <c r="O26" i="2"/>
  <c r="S20" i="3"/>
  <c r="S20" i="4"/>
  <c r="S20" i="5"/>
  <c r="S20" i="6"/>
  <c r="S20" i="7"/>
  <c r="S20" i="8"/>
  <c r="S20" i="9"/>
  <c r="S20" i="2"/>
  <c r="R20" i="3"/>
  <c r="R20" i="4"/>
  <c r="R20" i="5"/>
  <c r="R20" i="6"/>
  <c r="R20" i="7"/>
  <c r="R20" i="8"/>
  <c r="R20" i="9"/>
  <c r="R20" i="2"/>
  <c r="Q20" i="3"/>
  <c r="Q20" i="4"/>
  <c r="Q20" i="5"/>
  <c r="Q20" i="6"/>
  <c r="Q20" i="7"/>
  <c r="Q20" i="8"/>
  <c r="Q20" i="9"/>
  <c r="Q20" i="2"/>
  <c r="P20" i="3"/>
  <c r="P20" i="4"/>
  <c r="P20" i="5"/>
  <c r="P20" i="6"/>
  <c r="P20" i="7"/>
  <c r="P20" i="8"/>
  <c r="P20" i="9"/>
  <c r="P20" i="2"/>
  <c r="O20" i="3"/>
  <c r="O20" i="4"/>
  <c r="O20" i="5"/>
  <c r="O20" i="6"/>
  <c r="O20" i="7"/>
  <c r="O20" i="8"/>
  <c r="O20" i="9"/>
  <c r="O20" i="2"/>
  <c r="O11" i="2" a="1"/>
  <c r="O11" i="2" s="1"/>
  <c r="R21" i="2" s="1"/>
  <c r="O11" i="9" a="1"/>
  <c r="O11" i="9" s="1"/>
  <c r="R21" i="9" s="1"/>
  <c r="O11" i="8" a="1"/>
  <c r="O11" i="8" s="1"/>
  <c r="R21" i="8" s="1"/>
  <c r="O11" i="7" a="1"/>
  <c r="O11" i="7" s="1"/>
  <c r="R21" i="7" s="1"/>
  <c r="O11" i="6" a="1"/>
  <c r="O11" i="6" s="1"/>
  <c r="R21" i="6" s="1"/>
  <c r="O11" i="5" a="1"/>
  <c r="O11" i="5" s="1"/>
  <c r="R21" i="5" s="1"/>
  <c r="O11" i="4" a="1"/>
  <c r="O11" i="4" s="1"/>
  <c r="R21" i="4" s="1"/>
  <c r="O11" i="3" a="1"/>
  <c r="O11" i="3" s="1"/>
  <c r="R21" i="3" s="1"/>
  <c r="O17" i="2" a="1"/>
  <c r="O17" i="2" s="1"/>
  <c r="R27" i="2" s="1"/>
  <c r="O17" i="3" a="1"/>
  <c r="O17" i="3" s="1"/>
  <c r="R27" i="3" s="1"/>
  <c r="O17" i="4" a="1"/>
  <c r="O17" i="4" s="1"/>
  <c r="R27" i="4" s="1"/>
  <c r="O17" i="5" a="1"/>
  <c r="O17" i="5" s="1"/>
  <c r="R27" i="5" s="1"/>
  <c r="O17" i="6" a="1"/>
  <c r="O17" i="6" s="1"/>
  <c r="R27" i="6" s="1"/>
  <c r="O17" i="8" a="1"/>
  <c r="O17" i="8" s="1"/>
  <c r="R27" i="8" s="1"/>
  <c r="O17" i="9" a="1"/>
  <c r="O17" i="9" s="1"/>
  <c r="R27" i="9" s="1"/>
  <c r="O17" i="7" a="1"/>
  <c r="O17" i="7" s="1"/>
  <c r="R27" i="7" s="1"/>
  <c r="O14" i="2"/>
  <c r="O27" i="2" s="1"/>
  <c r="O14" i="3"/>
  <c r="O27" i="3" s="1"/>
  <c r="O14" i="4"/>
  <c r="O27" i="4" s="1"/>
  <c r="O14" i="5"/>
  <c r="O27" i="5" s="1"/>
  <c r="O14" i="6"/>
  <c r="O27" i="6" s="1"/>
  <c r="O14" i="8"/>
  <c r="O27" i="8" s="1"/>
  <c r="O14" i="9"/>
  <c r="O27" i="9" s="1"/>
  <c r="O14" i="7"/>
  <c r="O27" i="7" s="1"/>
  <c r="Q14" i="2"/>
  <c r="Q14" i="3"/>
  <c r="P27" i="3" s="1"/>
  <c r="Q14" i="4"/>
  <c r="Q14" i="5"/>
  <c r="Q14" i="6"/>
  <c r="Q14" i="8"/>
  <c r="P27" i="8" s="1"/>
  <c r="Q14" i="9"/>
  <c r="P27" i="9" s="1"/>
  <c r="Q14" i="7"/>
  <c r="P27" i="7" s="1"/>
  <c r="Q8" i="2"/>
  <c r="P21" i="2" s="1"/>
  <c r="Q8" i="4"/>
  <c r="P21" i="4" s="1"/>
  <c r="Q8" i="5"/>
  <c r="P21" i="5" s="1"/>
  <c r="Q8" i="6"/>
  <c r="P21" i="6" s="1"/>
  <c r="Q8" i="7"/>
  <c r="P21" i="7" s="1"/>
  <c r="Q8" i="8"/>
  <c r="P21" i="8" s="1"/>
  <c r="Q8" i="9"/>
  <c r="P21" i="9" s="1"/>
  <c r="Q8" i="3"/>
  <c r="P21" i="3" s="1"/>
  <c r="O8" i="2"/>
  <c r="O8" i="4"/>
  <c r="S8" i="4" s="1"/>
  <c r="O8" i="5"/>
  <c r="O8" i="6"/>
  <c r="O8" i="7"/>
  <c r="O8" i="8"/>
  <c r="S8" i="8" s="1"/>
  <c r="O8" i="9"/>
  <c r="S8" i="9" s="1"/>
  <c r="O8" i="3"/>
  <c r="O21" i="3" s="1"/>
  <c r="K26" i="9" l="1" a="1"/>
  <c r="K26" i="9" s="1"/>
  <c r="K61" i="8" a="1"/>
  <c r="K61" i="8" s="1"/>
  <c r="K29" i="8" a="1"/>
  <c r="K29" i="8" s="1"/>
  <c r="K51" i="6" a="1"/>
  <c r="K51" i="6" s="1"/>
  <c r="K19" i="6" a="1"/>
  <c r="K19" i="6" s="1"/>
  <c r="K57" i="4" a="1"/>
  <c r="K57" i="4" s="1"/>
  <c r="S8" i="6"/>
  <c r="S14" i="5"/>
  <c r="Q17" i="5" s="1"/>
  <c r="S27" i="5" s="1"/>
  <c r="K43" i="8" a="1"/>
  <c r="K43" i="8" s="1"/>
  <c r="K11" i="8" a="1"/>
  <c r="K11" i="8" s="1"/>
  <c r="K46" i="7" a="1"/>
  <c r="K46" i="7" s="1"/>
  <c r="K49" i="6" a="1"/>
  <c r="K49" i="6" s="1"/>
  <c r="K17" i="6" a="1"/>
  <c r="K17" i="6" s="1"/>
  <c r="K52" i="5" a="1"/>
  <c r="K52" i="5" s="1"/>
  <c r="K26" i="3" a="1"/>
  <c r="K26" i="3" s="1"/>
  <c r="K10" i="3" a="1"/>
  <c r="K10" i="3" s="1"/>
  <c r="K24" i="9" a="1"/>
  <c r="K24" i="9" s="1"/>
  <c r="K59" i="8" a="1"/>
  <c r="K59" i="8" s="1"/>
  <c r="K27" i="8" a="1"/>
  <c r="K27" i="8" s="1"/>
  <c r="K62" i="7" a="1"/>
  <c r="K62" i="7" s="1"/>
  <c r="K30" i="7" a="1"/>
  <c r="K30" i="7" s="1"/>
  <c r="K65" i="6" a="1"/>
  <c r="K65" i="6" s="1"/>
  <c r="K33" i="6" a="1"/>
  <c r="K33" i="6" s="1"/>
  <c r="K68" i="5" a="1"/>
  <c r="K68" i="5" s="1"/>
  <c r="K36" i="5" a="1"/>
  <c r="K36" i="5" s="1"/>
  <c r="K42" i="9" a="1"/>
  <c r="K42" i="9" s="1"/>
  <c r="K38" i="9" a="1"/>
  <c r="K38" i="9" s="1"/>
  <c r="K6" i="9" a="1"/>
  <c r="K6" i="9" s="1"/>
  <c r="K41" i="8" a="1"/>
  <c r="K41" i="8" s="1"/>
  <c r="K9" i="8" a="1"/>
  <c r="K9" i="8" s="1"/>
  <c r="K44" i="7" a="1"/>
  <c r="K44" i="7" s="1"/>
  <c r="K12" i="7" a="1"/>
  <c r="K12" i="7" s="1"/>
  <c r="K47" i="6" a="1"/>
  <c r="K47" i="6" s="1"/>
  <c r="K15" i="6" a="1"/>
  <c r="K15" i="6" s="1"/>
  <c r="K50" i="5" a="1"/>
  <c r="K50" i="5" s="1"/>
  <c r="K34" i="5" a="1"/>
  <c r="K34" i="5" s="1"/>
  <c r="K40" i="9" a="1"/>
  <c r="K40" i="9" s="1"/>
  <c r="K54" i="9" a="1"/>
  <c r="K54" i="9" s="1"/>
  <c r="K22" i="9" a="1"/>
  <c r="K22" i="9" s="1"/>
  <c r="K57" i="8" a="1"/>
  <c r="K57" i="8" s="1"/>
  <c r="K25" i="8" a="1"/>
  <c r="K25" i="8" s="1"/>
  <c r="K60" i="7" a="1"/>
  <c r="K60" i="7" s="1"/>
  <c r="K28" i="7" a="1"/>
  <c r="K28" i="7" s="1"/>
  <c r="K63" i="6" a="1"/>
  <c r="K63" i="6" s="1"/>
  <c r="K31" i="6" a="1"/>
  <c r="K31" i="6" s="1"/>
  <c r="K66" i="5" a="1"/>
  <c r="K66" i="5" s="1"/>
  <c r="K52" i="9" a="1"/>
  <c r="K52" i="9" s="1"/>
  <c r="K20" i="9" a="1"/>
  <c r="K20" i="9" s="1"/>
  <c r="K55" i="8" a="1"/>
  <c r="K55" i="8" s="1"/>
  <c r="K23" i="8" a="1"/>
  <c r="K23" i="8" s="1"/>
  <c r="K58" i="7" a="1"/>
  <c r="K58" i="7" s="1"/>
  <c r="K26" i="7" a="1"/>
  <c r="K26" i="7" s="1"/>
  <c r="K61" i="6" a="1"/>
  <c r="K61" i="6" s="1"/>
  <c r="K29" i="6" a="1"/>
  <c r="K29" i="6" s="1"/>
  <c r="K48" i="5" a="1"/>
  <c r="K48" i="5" s="1"/>
  <c r="K6" i="3" a="1"/>
  <c r="K6" i="3" s="1"/>
  <c r="K68" i="9" a="1"/>
  <c r="K68" i="9" s="1"/>
  <c r="K36" i="9" a="1"/>
  <c r="K36" i="9" s="1"/>
  <c r="K7" i="9" a="1"/>
  <c r="K7" i="9" s="1"/>
  <c r="K39" i="8" a="1"/>
  <c r="K39" i="8" s="1"/>
  <c r="K7" i="8" a="1"/>
  <c r="K7" i="8" s="1"/>
  <c r="K42" i="7" a="1"/>
  <c r="K42" i="7" s="1"/>
  <c r="K10" i="7" a="1"/>
  <c r="K10" i="7" s="1"/>
  <c r="K45" i="6" a="1"/>
  <c r="K45" i="6" s="1"/>
  <c r="K13" i="6" a="1"/>
  <c r="K13" i="6" s="1"/>
  <c r="K66" i="9" a="1"/>
  <c r="K66" i="9" s="1"/>
  <c r="K34" i="9" a="1"/>
  <c r="K34" i="9" s="1"/>
  <c r="K53" i="8" a="1"/>
  <c r="K53" i="8" s="1"/>
  <c r="K21" i="8" a="1"/>
  <c r="K21" i="8" s="1"/>
  <c r="K56" i="7" a="1"/>
  <c r="K56" i="7" s="1"/>
  <c r="K24" i="7" a="1"/>
  <c r="K24" i="7" s="1"/>
  <c r="K59" i="6" a="1"/>
  <c r="K59" i="6" s="1"/>
  <c r="K27" i="6" a="1"/>
  <c r="K27" i="6" s="1"/>
  <c r="K62" i="5" a="1"/>
  <c r="K62" i="5" s="1"/>
  <c r="K30" i="5" a="1"/>
  <c r="K30" i="5" s="1"/>
  <c r="K14" i="5" a="1"/>
  <c r="K14" i="5" s="1"/>
  <c r="K56" i="9" a="1"/>
  <c r="K56" i="9" s="1"/>
  <c r="K50" i="9" a="1"/>
  <c r="K50" i="9" s="1"/>
  <c r="K18" i="9" a="1"/>
  <c r="K18" i="9" s="1"/>
  <c r="K37" i="8" a="1"/>
  <c r="K37" i="8" s="1"/>
  <c r="K5" i="8" a="1"/>
  <c r="K5" i="8" s="1"/>
  <c r="K40" i="7" a="1"/>
  <c r="K40" i="7" s="1"/>
  <c r="K8" i="7" a="1"/>
  <c r="K8" i="7" s="1"/>
  <c r="K43" i="6" a="1"/>
  <c r="K43" i="6" s="1"/>
  <c r="K11" i="6" a="1"/>
  <c r="K11" i="6" s="1"/>
  <c r="K46" i="5" a="1"/>
  <c r="K46" i="5" s="1"/>
  <c r="K48" i="9" a="1"/>
  <c r="K48" i="9" s="1"/>
  <c r="K16" i="9" a="1"/>
  <c r="K16" i="9" s="1"/>
  <c r="K51" i="8" a="1"/>
  <c r="K51" i="8" s="1"/>
  <c r="K19" i="8" a="1"/>
  <c r="K19" i="8" s="1"/>
  <c r="K54" i="7" a="1"/>
  <c r="K54" i="7" s="1"/>
  <c r="K22" i="7" a="1"/>
  <c r="K22" i="7" s="1"/>
  <c r="K57" i="6" a="1"/>
  <c r="K57" i="6" s="1"/>
  <c r="K25" i="6" a="1"/>
  <c r="K25" i="6" s="1"/>
  <c r="K60" i="5" a="1"/>
  <c r="K60" i="5" s="1"/>
  <c r="K44" i="5" a="1"/>
  <c r="K44" i="5" s="1"/>
  <c r="K64" i="9" a="1"/>
  <c r="K64" i="9" s="1"/>
  <c r="K32" i="9" a="1"/>
  <c r="K32" i="9" s="1"/>
  <c r="K67" i="8" a="1"/>
  <c r="K67" i="8" s="1"/>
  <c r="K35" i="8" a="1"/>
  <c r="K35" i="8" s="1"/>
  <c r="K3" i="8" a="1"/>
  <c r="K3" i="8" s="1"/>
  <c r="K38" i="7" a="1"/>
  <c r="K38" i="7" s="1"/>
  <c r="K6" i="7" a="1"/>
  <c r="K6" i="7" s="1"/>
  <c r="K41" i="6" a="1"/>
  <c r="K41" i="6" s="1"/>
  <c r="K9" i="6" a="1"/>
  <c r="K9" i="6" s="1"/>
  <c r="K65" i="8" a="1"/>
  <c r="K65" i="8" s="1"/>
  <c r="K33" i="8" a="1"/>
  <c r="K33" i="8" s="1"/>
  <c r="K68" i="7" a="1"/>
  <c r="K68" i="7" s="1"/>
  <c r="K36" i="7" a="1"/>
  <c r="K36" i="7" s="1"/>
  <c r="K39" i="6" a="1"/>
  <c r="K39" i="6" s="1"/>
  <c r="K7" i="6" a="1"/>
  <c r="K7" i="6" s="1"/>
  <c r="K42" i="5" a="1"/>
  <c r="K42" i="5" s="1"/>
  <c r="K10" i="5" a="1"/>
  <c r="K10" i="5" s="1"/>
  <c r="K48" i="3" a="1"/>
  <c r="K48" i="3" s="1"/>
  <c r="K16" i="3" a="1"/>
  <c r="K16" i="3" s="1"/>
  <c r="K49" i="8" a="1"/>
  <c r="K49" i="8" s="1"/>
  <c r="K17" i="8" a="1"/>
  <c r="K17" i="8" s="1"/>
  <c r="K55" i="6" a="1"/>
  <c r="K55" i="6" s="1"/>
  <c r="K23" i="6" a="1"/>
  <c r="K23" i="6" s="1"/>
  <c r="K44" i="9" a="1"/>
  <c r="K44" i="9" s="1"/>
  <c r="K12" i="9" a="1"/>
  <c r="K12" i="9" s="1"/>
  <c r="K47" i="8" a="1"/>
  <c r="K47" i="8" s="1"/>
  <c r="K15" i="8" a="1"/>
  <c r="K15" i="8" s="1"/>
  <c r="K50" i="7" a="1"/>
  <c r="K50" i="7" s="1"/>
  <c r="K18" i="7" a="1"/>
  <c r="K18" i="7" s="1"/>
  <c r="K37" i="6" a="1"/>
  <c r="K37" i="6" s="1"/>
  <c r="K5" i="6" a="1"/>
  <c r="K5" i="6" s="1"/>
  <c r="K56" i="5" a="1"/>
  <c r="K56" i="5" s="1"/>
  <c r="K60" i="9" a="1"/>
  <c r="K60" i="9" s="1"/>
  <c r="K28" i="9" a="1"/>
  <c r="K28" i="9" s="1"/>
  <c r="K63" i="8" a="1"/>
  <c r="K63" i="8" s="1"/>
  <c r="K31" i="8" a="1"/>
  <c r="K31" i="8" s="1"/>
  <c r="K66" i="7" a="1"/>
  <c r="K66" i="7" s="1"/>
  <c r="K34" i="7" a="1"/>
  <c r="K34" i="7" s="1"/>
  <c r="K53" i="6" a="1"/>
  <c r="K53" i="6" s="1"/>
  <c r="K21" i="6" a="1"/>
  <c r="K21" i="6" s="1"/>
  <c r="K45" i="8" a="1"/>
  <c r="K45" i="8" s="1"/>
  <c r="K13" i="8" a="1"/>
  <c r="K13" i="8" s="1"/>
  <c r="K67" i="6" a="1"/>
  <c r="K67" i="6" s="1"/>
  <c r="K35" i="6" a="1"/>
  <c r="K35" i="6" s="1"/>
  <c r="K3" i="6" a="1"/>
  <c r="K3" i="6" s="1"/>
  <c r="K6" i="5" a="1"/>
  <c r="K6" i="5" s="1"/>
  <c r="K60" i="3" a="1"/>
  <c r="K60" i="3" s="1"/>
  <c r="K41" i="4" a="1"/>
  <c r="K41" i="4" s="1"/>
  <c r="K9" i="4" a="1"/>
  <c r="K9" i="4" s="1"/>
  <c r="K28" i="3" a="1"/>
  <c r="K28" i="3" s="1"/>
  <c r="K63" i="2" a="1"/>
  <c r="K63" i="2" s="1"/>
  <c r="K47" i="2" a="1"/>
  <c r="K47" i="2" s="1"/>
  <c r="K15" i="2" a="1"/>
  <c r="K15" i="2" s="1"/>
  <c r="K53" i="9" a="1"/>
  <c r="K53" i="9" s="1"/>
  <c r="K37" i="9" a="1"/>
  <c r="K37" i="9" s="1"/>
  <c r="K21" i="9" a="1"/>
  <c r="K21" i="9" s="1"/>
  <c r="K57" i="7" a="1"/>
  <c r="K57" i="7" s="1"/>
  <c r="K41" i="7" a="1"/>
  <c r="K41" i="7" s="1"/>
  <c r="K25" i="7" a="1"/>
  <c r="K25" i="7" s="1"/>
  <c r="K9" i="7" a="1"/>
  <c r="K9" i="7" s="1"/>
  <c r="K25" i="4" a="1"/>
  <c r="K25" i="4" s="1"/>
  <c r="K44" i="3" a="1"/>
  <c r="K44" i="3" s="1"/>
  <c r="K12" i="3" a="1"/>
  <c r="K12" i="3" s="1"/>
  <c r="K31" i="2" a="1"/>
  <c r="K31" i="2" s="1"/>
  <c r="K2" i="5" a="1"/>
  <c r="K2" i="5" s="1"/>
  <c r="K4" i="9" a="1"/>
  <c r="K4" i="9" s="1"/>
  <c r="K54" i="8" a="1"/>
  <c r="K54" i="8" s="1"/>
  <c r="K38" i="8" a="1"/>
  <c r="K38" i="8" s="1"/>
  <c r="K22" i="8" a="1"/>
  <c r="K22" i="8" s="1"/>
  <c r="K6" i="8" a="1"/>
  <c r="K6" i="8" s="1"/>
  <c r="K58" i="6" a="1"/>
  <c r="K58" i="6" s="1"/>
  <c r="K42" i="6" a="1"/>
  <c r="K42" i="6" s="1"/>
  <c r="K26" i="6" a="1"/>
  <c r="K26" i="6" s="1"/>
  <c r="K10" i="6" a="1"/>
  <c r="K10" i="6" s="1"/>
  <c r="K4" i="4" a="1"/>
  <c r="K4" i="4" s="1"/>
  <c r="K20" i="4" a="1"/>
  <c r="K20" i="4" s="1"/>
  <c r="K36" i="4" a="1"/>
  <c r="K36" i="4" s="1"/>
  <c r="K52" i="4" a="1"/>
  <c r="K52" i="4" s="1"/>
  <c r="K68" i="4" a="1"/>
  <c r="K68" i="4" s="1"/>
  <c r="K12" i="4" a="1"/>
  <c r="K12" i="4" s="1"/>
  <c r="K28" i="4" a="1"/>
  <c r="K28" i="4" s="1"/>
  <c r="K44" i="4" a="1"/>
  <c r="K44" i="4" s="1"/>
  <c r="K60" i="4" a="1"/>
  <c r="K60" i="4" s="1"/>
  <c r="K6" i="4" a="1"/>
  <c r="K6" i="4" s="1"/>
  <c r="K22" i="4" a="1"/>
  <c r="K22" i="4" s="1"/>
  <c r="K38" i="4" a="1"/>
  <c r="K38" i="4" s="1"/>
  <c r="K54" i="4" a="1"/>
  <c r="K54" i="4" s="1"/>
  <c r="K14" i="4" a="1"/>
  <c r="K14" i="4" s="1"/>
  <c r="K30" i="4" a="1"/>
  <c r="K30" i="4" s="1"/>
  <c r="K46" i="4" a="1"/>
  <c r="K46" i="4" s="1"/>
  <c r="K62" i="4" a="1"/>
  <c r="K62" i="4" s="1"/>
  <c r="K16" i="4" a="1"/>
  <c r="K16" i="4" s="1"/>
  <c r="K24" i="4" a="1"/>
  <c r="K24" i="4" s="1"/>
  <c r="K48" i="4" a="1"/>
  <c r="K48" i="4" s="1"/>
  <c r="K64" i="4" a="1"/>
  <c r="K64" i="4" s="1"/>
  <c r="K8" i="4" a="1"/>
  <c r="K8" i="4" s="1"/>
  <c r="K32" i="4" a="1"/>
  <c r="K32" i="4" s="1"/>
  <c r="K40" i="4" a="1"/>
  <c r="K40" i="4" s="1"/>
  <c r="K56" i="4" a="1"/>
  <c r="K56" i="4" s="1"/>
  <c r="K18" i="4" a="1"/>
  <c r="K18" i="4" s="1"/>
  <c r="K26" i="4" a="1"/>
  <c r="K26" i="4" s="1"/>
  <c r="K42" i="4" a="1"/>
  <c r="K42" i="4" s="1"/>
  <c r="K58" i="4" a="1"/>
  <c r="K58" i="4" s="1"/>
  <c r="K10" i="4" a="1"/>
  <c r="K10" i="4" s="1"/>
  <c r="K34" i="4" a="1"/>
  <c r="K34" i="4" s="1"/>
  <c r="K50" i="4" a="1"/>
  <c r="K50" i="4" s="1"/>
  <c r="K66" i="4" a="1"/>
  <c r="K66" i="4" s="1"/>
  <c r="K39" i="4" a="1"/>
  <c r="K39" i="4" s="1"/>
  <c r="K7" i="4" a="1"/>
  <c r="K7" i="4" s="1"/>
  <c r="K45" i="2" a="1"/>
  <c r="K45" i="2" s="1"/>
  <c r="K13" i="2" a="1"/>
  <c r="K13" i="2" s="1"/>
  <c r="K67" i="9" a="1"/>
  <c r="K67" i="9" s="1"/>
  <c r="K51" i="9" a="1"/>
  <c r="K51" i="9" s="1"/>
  <c r="K35" i="9" a="1"/>
  <c r="K35" i="9" s="1"/>
  <c r="K19" i="9" a="1"/>
  <c r="K19" i="9" s="1"/>
  <c r="K3" i="9" a="1"/>
  <c r="K3" i="9" s="1"/>
  <c r="K55" i="7" a="1"/>
  <c r="K55" i="7" s="1"/>
  <c r="K39" i="7" a="1"/>
  <c r="K39" i="7" s="1"/>
  <c r="K23" i="7" a="1"/>
  <c r="K23" i="7" s="1"/>
  <c r="K7" i="7" a="1"/>
  <c r="K7" i="7" s="1"/>
  <c r="K20" i="5" a="1"/>
  <c r="K20" i="5" s="1"/>
  <c r="K17" i="5" a="1"/>
  <c r="K17" i="5" s="1"/>
  <c r="K33" i="5" a="1"/>
  <c r="K33" i="5" s="1"/>
  <c r="K49" i="5" a="1"/>
  <c r="K49" i="5" s="1"/>
  <c r="K65" i="5" a="1"/>
  <c r="K65" i="5" s="1"/>
  <c r="K11" i="5" a="1"/>
  <c r="K11" i="5" s="1"/>
  <c r="K27" i="5" a="1"/>
  <c r="K27" i="5" s="1"/>
  <c r="K43" i="5" a="1"/>
  <c r="K43" i="5" s="1"/>
  <c r="K59" i="5" a="1"/>
  <c r="K59" i="5" s="1"/>
  <c r="K3" i="5" a="1"/>
  <c r="K3" i="5" s="1"/>
  <c r="K19" i="5" a="1"/>
  <c r="K19" i="5" s="1"/>
  <c r="K35" i="5" a="1"/>
  <c r="K35" i="5" s="1"/>
  <c r="K51" i="5" a="1"/>
  <c r="K51" i="5" s="1"/>
  <c r="K67" i="5" a="1"/>
  <c r="K67" i="5" s="1"/>
  <c r="K4" i="5" a="1"/>
  <c r="K4" i="5" s="1"/>
  <c r="K13" i="5" a="1"/>
  <c r="K13" i="5" s="1"/>
  <c r="K29" i="5" a="1"/>
  <c r="K29" i="5" s="1"/>
  <c r="K45" i="5" a="1"/>
  <c r="K45" i="5" s="1"/>
  <c r="K61" i="5" a="1"/>
  <c r="K61" i="5" s="1"/>
  <c r="K21" i="5" a="1"/>
  <c r="K21" i="5" s="1"/>
  <c r="K37" i="5" a="1"/>
  <c r="K37" i="5" s="1"/>
  <c r="K53" i="5" a="1"/>
  <c r="K53" i="5" s="1"/>
  <c r="K15" i="5" a="1"/>
  <c r="K15" i="5" s="1"/>
  <c r="K31" i="5" a="1"/>
  <c r="K31" i="5" s="1"/>
  <c r="K47" i="5" a="1"/>
  <c r="K47" i="5" s="1"/>
  <c r="K55" i="5" a="1"/>
  <c r="K55" i="5" s="1"/>
  <c r="K7" i="5" a="1"/>
  <c r="K7" i="5" s="1"/>
  <c r="K23" i="5" a="1"/>
  <c r="K23" i="5" s="1"/>
  <c r="K39" i="5" a="1"/>
  <c r="K39" i="5" s="1"/>
  <c r="K63" i="5" a="1"/>
  <c r="K63" i="5" s="1"/>
  <c r="K9" i="5" a="1"/>
  <c r="K9" i="5" s="1"/>
  <c r="K25" i="5" a="1"/>
  <c r="K25" i="5" s="1"/>
  <c r="K41" i="5" a="1"/>
  <c r="K41" i="5" s="1"/>
  <c r="K57" i="5" a="1"/>
  <c r="K57" i="5" s="1"/>
  <c r="K55" i="4" a="1"/>
  <c r="K55" i="4" s="1"/>
  <c r="O5" i="4" s="1" a="1"/>
  <c r="O5" i="4" s="1"/>
  <c r="K23" i="4" a="1"/>
  <c r="K23" i="4" s="1"/>
  <c r="K61" i="2" a="1"/>
  <c r="K61" i="2" s="1"/>
  <c r="K29" i="2" a="1"/>
  <c r="K29" i="2" s="1"/>
  <c r="K2" i="3" a="1"/>
  <c r="K2" i="3" s="1"/>
  <c r="K68" i="8" a="1"/>
  <c r="K68" i="8" s="1"/>
  <c r="K52" i="8" a="1"/>
  <c r="K52" i="8" s="1"/>
  <c r="K36" i="8" a="1"/>
  <c r="K36" i="8" s="1"/>
  <c r="K20" i="8" a="1"/>
  <c r="K20" i="8" s="1"/>
  <c r="K4" i="8" a="1"/>
  <c r="K4" i="8" s="1"/>
  <c r="K56" i="6" a="1"/>
  <c r="K56" i="6" s="1"/>
  <c r="K40" i="6" a="1"/>
  <c r="K40" i="6" s="1"/>
  <c r="K24" i="6" a="1"/>
  <c r="K24" i="6" s="1"/>
  <c r="K8" i="6" a="1"/>
  <c r="K8" i="6" s="1"/>
  <c r="K69" i="6" a="1"/>
  <c r="K69" i="6" s="1"/>
  <c r="S8" i="7"/>
  <c r="S14" i="6"/>
  <c r="Q27" i="6" s="1"/>
  <c r="S8" i="5"/>
  <c r="S14" i="4"/>
  <c r="Q17" i="4" s="1"/>
  <c r="S27" i="4" s="1"/>
  <c r="S8" i="2"/>
  <c r="S14" i="2"/>
  <c r="K18" i="5" a="1"/>
  <c r="K18" i="5" s="1"/>
  <c r="K53" i="4" a="1"/>
  <c r="K53" i="4" s="1"/>
  <c r="K21" i="4" a="1"/>
  <c r="K21" i="4" s="1"/>
  <c r="K56" i="3" a="1"/>
  <c r="K56" i="3" s="1"/>
  <c r="K24" i="3" a="1"/>
  <c r="K24" i="3" s="1"/>
  <c r="K59" i="2" a="1"/>
  <c r="K59" i="2" s="1"/>
  <c r="K11" i="2" a="1"/>
  <c r="K11" i="2" s="1"/>
  <c r="K65" i="9" a="1"/>
  <c r="K65" i="9" s="1"/>
  <c r="K49" i="9" a="1"/>
  <c r="K49" i="9" s="1"/>
  <c r="K33" i="9" a="1"/>
  <c r="K33" i="9" s="1"/>
  <c r="K17" i="9" a="1"/>
  <c r="K17" i="9" s="1"/>
  <c r="K53" i="7" a="1"/>
  <c r="K53" i="7" s="1"/>
  <c r="K37" i="7" a="1"/>
  <c r="K37" i="7" s="1"/>
  <c r="K21" i="7" a="1"/>
  <c r="K21" i="7" s="1"/>
  <c r="K16" i="2" a="1"/>
  <c r="K16" i="2" s="1"/>
  <c r="K32" i="2" a="1"/>
  <c r="K32" i="2" s="1"/>
  <c r="K48" i="2" a="1"/>
  <c r="K48" i="2" s="1"/>
  <c r="K64" i="2" a="1"/>
  <c r="K64" i="2" s="1"/>
  <c r="K8" i="2" a="1"/>
  <c r="K8" i="2" s="1"/>
  <c r="K24" i="2" a="1"/>
  <c r="K24" i="2" s="1"/>
  <c r="K40" i="2" a="1"/>
  <c r="K40" i="2" s="1"/>
  <c r="K56" i="2" a="1"/>
  <c r="K56" i="2" s="1"/>
  <c r="K18" i="2" a="1"/>
  <c r="K18" i="2" s="1"/>
  <c r="K34" i="2" a="1"/>
  <c r="K34" i="2" s="1"/>
  <c r="K50" i="2" a="1"/>
  <c r="K50" i="2" s="1"/>
  <c r="K66" i="2" a="1"/>
  <c r="K66" i="2" s="1"/>
  <c r="K10" i="2" a="1"/>
  <c r="K10" i="2" s="1"/>
  <c r="K26" i="2" a="1"/>
  <c r="K26" i="2" s="1"/>
  <c r="K42" i="2" a="1"/>
  <c r="K42" i="2" s="1"/>
  <c r="K58" i="2" a="1"/>
  <c r="K58" i="2" s="1"/>
  <c r="K12" i="2" a="1"/>
  <c r="K12" i="2" s="1"/>
  <c r="K28" i="2" a="1"/>
  <c r="K28" i="2" s="1"/>
  <c r="K44" i="2" a="1"/>
  <c r="K44" i="2" s="1"/>
  <c r="K60" i="2" a="1"/>
  <c r="K60" i="2" s="1"/>
  <c r="K4" i="2" a="1"/>
  <c r="K4" i="2" s="1"/>
  <c r="K20" i="2" a="1"/>
  <c r="K20" i="2" s="1"/>
  <c r="K36" i="2" a="1"/>
  <c r="K36" i="2" s="1"/>
  <c r="K52" i="2" a="1"/>
  <c r="K52" i="2" s="1"/>
  <c r="K68" i="2" a="1"/>
  <c r="K68" i="2" s="1"/>
  <c r="K14" i="2" a="1"/>
  <c r="K14" i="2" s="1"/>
  <c r="K30" i="2" a="1"/>
  <c r="K30" i="2" s="1"/>
  <c r="K46" i="2" a="1"/>
  <c r="K46" i="2" s="1"/>
  <c r="K62" i="2" a="1"/>
  <c r="K62" i="2" s="1"/>
  <c r="K6" i="2" a="1"/>
  <c r="K6" i="2" s="1"/>
  <c r="K22" i="2" a="1"/>
  <c r="K22" i="2" s="1"/>
  <c r="K38" i="2" a="1"/>
  <c r="K38" i="2" s="1"/>
  <c r="K54" i="2" a="1"/>
  <c r="K54" i="2" s="1"/>
  <c r="K69" i="4" a="1"/>
  <c r="K69" i="4" s="1"/>
  <c r="K37" i="4" a="1"/>
  <c r="K37" i="4" s="1"/>
  <c r="K5" i="4" a="1"/>
  <c r="K5" i="4" s="1"/>
  <c r="K40" i="3" a="1"/>
  <c r="K40" i="3" s="1"/>
  <c r="K8" i="3" a="1"/>
  <c r="K8" i="3" s="1"/>
  <c r="K43" i="2" a="1"/>
  <c r="K43" i="2" s="1"/>
  <c r="K27" i="2" a="1"/>
  <c r="K27" i="2" s="1"/>
  <c r="K66" i="8" a="1"/>
  <c r="K66" i="8" s="1"/>
  <c r="K50" i="8" a="1"/>
  <c r="K50" i="8" s="1"/>
  <c r="K34" i="8" a="1"/>
  <c r="K34" i="8" s="1"/>
  <c r="K18" i="8" a="1"/>
  <c r="K18" i="8" s="1"/>
  <c r="K4" i="7" a="1"/>
  <c r="K4" i="7" s="1"/>
  <c r="K54" i="6" a="1"/>
  <c r="K54" i="6" s="1"/>
  <c r="K38" i="6" a="1"/>
  <c r="K38" i="6" s="1"/>
  <c r="K22" i="6" a="1"/>
  <c r="K22" i="6" s="1"/>
  <c r="K6" i="6" a="1"/>
  <c r="K6" i="6" s="1"/>
  <c r="K16" i="5" a="1"/>
  <c r="K16" i="5" s="1"/>
  <c r="K51" i="4" a="1"/>
  <c r="K51" i="4" s="1"/>
  <c r="K35" i="4" a="1"/>
  <c r="K35" i="4" s="1"/>
  <c r="O3" i="4" s="1" a="1"/>
  <c r="O3" i="4" s="1"/>
  <c r="K3" i="4" a="1"/>
  <c r="K3" i="4" s="1"/>
  <c r="K38" i="3" a="1"/>
  <c r="K38" i="3" s="1"/>
  <c r="K41" i="2" a="1"/>
  <c r="K41" i="2" s="1"/>
  <c r="K9" i="2" a="1"/>
  <c r="K9" i="2" s="1"/>
  <c r="K63" i="9" a="1"/>
  <c r="K63" i="9" s="1"/>
  <c r="K47" i="9" a="1"/>
  <c r="K47" i="9" s="1"/>
  <c r="K31" i="9" a="1"/>
  <c r="K31" i="9" s="1"/>
  <c r="K15" i="9" a="1"/>
  <c r="K15" i="9" s="1"/>
  <c r="K67" i="7" a="1"/>
  <c r="K67" i="7" s="1"/>
  <c r="K51" i="7" a="1"/>
  <c r="K51" i="7" s="1"/>
  <c r="K35" i="7" a="1"/>
  <c r="K35" i="7" s="1"/>
  <c r="K19" i="7" a="1"/>
  <c r="K19" i="7" s="1"/>
  <c r="K3" i="7" a="1"/>
  <c r="K3" i="7" s="1"/>
  <c r="K32" i="5" a="1"/>
  <c r="K32" i="5" s="1"/>
  <c r="K67" i="4" a="1"/>
  <c r="K67" i="4" s="1"/>
  <c r="K19" i="4" a="1"/>
  <c r="K19" i="4" s="1"/>
  <c r="K54" i="3" a="1"/>
  <c r="K54" i="3" s="1"/>
  <c r="K22" i="3" a="1"/>
  <c r="K22" i="3" s="1"/>
  <c r="K57" i="2" a="1"/>
  <c r="K57" i="2" s="1"/>
  <c r="K25" i="2" a="1"/>
  <c r="K25" i="2" s="1"/>
  <c r="K64" i="8" a="1"/>
  <c r="K64" i="8" s="1"/>
  <c r="K48" i="8" a="1"/>
  <c r="K48" i="8" s="1"/>
  <c r="K32" i="8" a="1"/>
  <c r="K32" i="8" s="1"/>
  <c r="K16" i="8" a="1"/>
  <c r="K16" i="8" s="1"/>
  <c r="K68" i="6" a="1"/>
  <c r="K68" i="6" s="1"/>
  <c r="K52" i="6" a="1"/>
  <c r="K52" i="6" s="1"/>
  <c r="K36" i="6" a="1"/>
  <c r="K36" i="6" s="1"/>
  <c r="K20" i="6" a="1"/>
  <c r="K20" i="6" s="1"/>
  <c r="K4" i="6" a="1"/>
  <c r="K4" i="6" s="1"/>
  <c r="K65" i="4" a="1"/>
  <c r="K65" i="4" s="1"/>
  <c r="K33" i="4" a="1"/>
  <c r="K33" i="4" s="1"/>
  <c r="K68" i="3" a="1"/>
  <c r="K68" i="3" s="1"/>
  <c r="K36" i="3" a="1"/>
  <c r="K36" i="3" s="1"/>
  <c r="K55" i="2" a="1"/>
  <c r="K55" i="2" s="1"/>
  <c r="K23" i="2" a="1"/>
  <c r="K23" i="2" s="1"/>
  <c r="K61" i="9" a="1"/>
  <c r="K61" i="9" s="1"/>
  <c r="K45" i="9" a="1"/>
  <c r="K45" i="9" s="1"/>
  <c r="K29" i="9" a="1"/>
  <c r="K29" i="9" s="1"/>
  <c r="K13" i="9" a="1"/>
  <c r="K13" i="9" s="1"/>
  <c r="K65" i="7" a="1"/>
  <c r="K65" i="7" s="1"/>
  <c r="K49" i="7" a="1"/>
  <c r="K49" i="7" s="1"/>
  <c r="K33" i="7" a="1"/>
  <c r="K33" i="7" s="1"/>
  <c r="K17" i="7" a="1"/>
  <c r="K17" i="7" s="1"/>
  <c r="K69" i="8" a="1"/>
  <c r="K69" i="8" s="1"/>
  <c r="K49" i="4" a="1"/>
  <c r="K49" i="4" s="1"/>
  <c r="K17" i="4" a="1"/>
  <c r="K17" i="4" s="1"/>
  <c r="K52" i="3" a="1"/>
  <c r="K52" i="3" s="1"/>
  <c r="K20" i="3" a="1"/>
  <c r="K20" i="3" s="1"/>
  <c r="K21" i="3" a="1"/>
  <c r="K21" i="3" s="1"/>
  <c r="K37" i="3" a="1"/>
  <c r="K37" i="3" s="1"/>
  <c r="K53" i="3" a="1"/>
  <c r="K53" i="3" s="1"/>
  <c r="K61" i="3" a="1"/>
  <c r="K61" i="3" s="1"/>
  <c r="K15" i="3" a="1"/>
  <c r="K15" i="3" s="1"/>
  <c r="K39" i="3" a="1"/>
  <c r="K39" i="3" s="1"/>
  <c r="K55" i="3" a="1"/>
  <c r="K55" i="3" s="1"/>
  <c r="K7" i="3" a="1"/>
  <c r="K7" i="3" s="1"/>
  <c r="K23" i="3" a="1"/>
  <c r="K23" i="3" s="1"/>
  <c r="O5" i="3" s="1" a="1"/>
  <c r="O5" i="3" s="1"/>
  <c r="K31" i="3" a="1"/>
  <c r="K31" i="3" s="1"/>
  <c r="K47" i="3" a="1"/>
  <c r="K47" i="3" s="1"/>
  <c r="K63" i="3" a="1"/>
  <c r="K63" i="3" s="1"/>
  <c r="K17" i="3" a="1"/>
  <c r="K17" i="3" s="1"/>
  <c r="K33" i="3" a="1"/>
  <c r="K33" i="3" s="1"/>
  <c r="K49" i="3" a="1"/>
  <c r="K49" i="3" s="1"/>
  <c r="K65" i="3" a="1"/>
  <c r="K65" i="3" s="1"/>
  <c r="K9" i="3" a="1"/>
  <c r="K9" i="3" s="1"/>
  <c r="K25" i="3" a="1"/>
  <c r="K25" i="3" s="1"/>
  <c r="K41" i="3" a="1"/>
  <c r="K41" i="3" s="1"/>
  <c r="K57" i="3" a="1"/>
  <c r="K57" i="3" s="1"/>
  <c r="O3" i="3" s="1" a="1"/>
  <c r="O3" i="3" s="1"/>
  <c r="K11" i="3" a="1"/>
  <c r="K11" i="3" s="1"/>
  <c r="K27" i="3" a="1"/>
  <c r="K27" i="3" s="1"/>
  <c r="K43" i="3" a="1"/>
  <c r="K43" i="3" s="1"/>
  <c r="K59" i="3" a="1"/>
  <c r="K59" i="3" s="1"/>
  <c r="K3" i="3" a="1"/>
  <c r="K3" i="3" s="1"/>
  <c r="K19" i="3" a="1"/>
  <c r="K19" i="3" s="1"/>
  <c r="K35" i="3" a="1"/>
  <c r="K35" i="3" s="1"/>
  <c r="K51" i="3" a="1"/>
  <c r="K51" i="3" s="1"/>
  <c r="K67" i="3" a="1"/>
  <c r="K67" i="3" s="1"/>
  <c r="K4" i="3" a="1"/>
  <c r="K4" i="3" s="1"/>
  <c r="K13" i="3" a="1"/>
  <c r="K13" i="3" s="1"/>
  <c r="K29" i="3" a="1"/>
  <c r="K29" i="3" s="1"/>
  <c r="K45" i="3" a="1"/>
  <c r="K45" i="3" s="1"/>
  <c r="K39" i="2" a="1"/>
  <c r="K39" i="2" s="1"/>
  <c r="K7" i="2" a="1"/>
  <c r="K7" i="2" s="1"/>
  <c r="K62" i="8" a="1"/>
  <c r="K62" i="8" s="1"/>
  <c r="K46" i="8" a="1"/>
  <c r="K46" i="8" s="1"/>
  <c r="K30" i="8" a="1"/>
  <c r="K30" i="8" s="1"/>
  <c r="K14" i="8" a="1"/>
  <c r="K14" i="8" s="1"/>
  <c r="K64" i="7" a="1"/>
  <c r="K64" i="7" s="1"/>
  <c r="O3" i="7" s="1" a="1"/>
  <c r="O3" i="7" s="1"/>
  <c r="K66" i="6" a="1"/>
  <c r="K66" i="6" s="1"/>
  <c r="O3" i="6" s="1" a="1"/>
  <c r="O3" i="6" s="1"/>
  <c r="K50" i="6" a="1"/>
  <c r="K50" i="6" s="1"/>
  <c r="K34" i="6" a="1"/>
  <c r="K34" i="6" s="1"/>
  <c r="K18" i="6" a="1"/>
  <c r="K18" i="6" s="1"/>
  <c r="O3" i="9" a="1"/>
  <c r="O3" i="9" s="1"/>
  <c r="O5" i="9" a="1"/>
  <c r="O5" i="9" s="1"/>
  <c r="K12" i="5" a="1"/>
  <c r="K12" i="5" s="1"/>
  <c r="K47" i="4" a="1"/>
  <c r="K47" i="4" s="1"/>
  <c r="K15" i="4" a="1"/>
  <c r="K15" i="4" s="1"/>
  <c r="K50" i="3" a="1"/>
  <c r="K50" i="3" s="1"/>
  <c r="K18" i="3" a="1"/>
  <c r="K18" i="3" s="1"/>
  <c r="K53" i="2" a="1"/>
  <c r="K53" i="2" s="1"/>
  <c r="K21" i="2" a="1"/>
  <c r="K21" i="2" s="1"/>
  <c r="K59" i="9" a="1"/>
  <c r="K59" i="9" s="1"/>
  <c r="K43" i="9" a="1"/>
  <c r="K43" i="9" s="1"/>
  <c r="K27" i="9" a="1"/>
  <c r="K27" i="9" s="1"/>
  <c r="K11" i="9" a="1"/>
  <c r="K11" i="9" s="1"/>
  <c r="K63" i="7" a="1"/>
  <c r="K63" i="7" s="1"/>
  <c r="K47" i="7" a="1"/>
  <c r="K47" i="7" s="1"/>
  <c r="K31" i="7" a="1"/>
  <c r="K31" i="7" s="1"/>
  <c r="K15" i="7" a="1"/>
  <c r="K15" i="7" s="1"/>
  <c r="K28" i="5" a="1"/>
  <c r="K28" i="5" s="1"/>
  <c r="K63" i="4" a="1"/>
  <c r="K63" i="4" s="1"/>
  <c r="K31" i="4" a="1"/>
  <c r="K31" i="4" s="1"/>
  <c r="K66" i="3" a="1"/>
  <c r="K66" i="3" s="1"/>
  <c r="K34" i="3" a="1"/>
  <c r="K34" i="3" s="1"/>
  <c r="K69" i="2" a="1"/>
  <c r="K69" i="2" s="1"/>
  <c r="K37" i="2" a="1"/>
  <c r="K37" i="2" s="1"/>
  <c r="K5" i="2" a="1"/>
  <c r="K5" i="2" s="1"/>
  <c r="O5" i="6" a="1"/>
  <c r="O5" i="6" s="1"/>
  <c r="K60" i="8" a="1"/>
  <c r="K60" i="8" s="1"/>
  <c r="K44" i="8" a="1"/>
  <c r="K44" i="8" s="1"/>
  <c r="K28" i="8" a="1"/>
  <c r="K28" i="8" s="1"/>
  <c r="K12" i="8" a="1"/>
  <c r="K12" i="8" s="1"/>
  <c r="K64" i="6" a="1"/>
  <c r="K64" i="6" s="1"/>
  <c r="K48" i="6" a="1"/>
  <c r="K48" i="6" s="1"/>
  <c r="K32" i="6" a="1"/>
  <c r="K32" i="6" s="1"/>
  <c r="K16" i="6" a="1"/>
  <c r="K16" i="6" s="1"/>
  <c r="K64" i="5" a="1"/>
  <c r="K64" i="5" s="1"/>
  <c r="O3" i="5" s="1" a="1"/>
  <c r="O3" i="5" s="1"/>
  <c r="K61" i="4" a="1"/>
  <c r="K61" i="4" s="1"/>
  <c r="K29" i="4" a="1"/>
  <c r="K29" i="4" s="1"/>
  <c r="K64" i="3" a="1"/>
  <c r="K64" i="3" s="1"/>
  <c r="K32" i="3" a="1"/>
  <c r="K32" i="3" s="1"/>
  <c r="K67" i="2" a="1"/>
  <c r="K67" i="2" s="1"/>
  <c r="K35" i="2" a="1"/>
  <c r="K35" i="2" s="1"/>
  <c r="K3" i="2" a="1"/>
  <c r="K3" i="2" s="1"/>
  <c r="K57" i="9" a="1"/>
  <c r="K57" i="9" s="1"/>
  <c r="K41" i="9" a="1"/>
  <c r="K41" i="9" s="1"/>
  <c r="K25" i="9" a="1"/>
  <c r="K25" i="9" s="1"/>
  <c r="K9" i="9" a="1"/>
  <c r="K9" i="9" s="1"/>
  <c r="K61" i="7" a="1"/>
  <c r="K61" i="7" s="1"/>
  <c r="K45" i="7" a="1"/>
  <c r="K45" i="7" s="1"/>
  <c r="K29" i="7" a="1"/>
  <c r="K29" i="7" s="1"/>
  <c r="K13" i="7" a="1"/>
  <c r="K13" i="7" s="1"/>
  <c r="K45" i="4" a="1"/>
  <c r="K45" i="4" s="1"/>
  <c r="K13" i="4" a="1"/>
  <c r="K13" i="4" s="1"/>
  <c r="K51" i="2" a="1"/>
  <c r="K51" i="2" s="1"/>
  <c r="K19" i="2" a="1"/>
  <c r="K19" i="2" s="1"/>
  <c r="K69" i="9" a="1"/>
  <c r="K69" i="9" s="1"/>
  <c r="K2" i="8" a="1"/>
  <c r="K2" i="8" s="1"/>
  <c r="K58" i="8" a="1"/>
  <c r="K58" i="8" s="1"/>
  <c r="O3" i="8" s="1" a="1"/>
  <c r="O3" i="8" s="1"/>
  <c r="K42" i="8" a="1"/>
  <c r="K42" i="8" s="1"/>
  <c r="K26" i="8" a="1"/>
  <c r="K26" i="8" s="1"/>
  <c r="K10" i="8" a="1"/>
  <c r="K10" i="8" s="1"/>
  <c r="K62" i="6" a="1"/>
  <c r="K62" i="6" s="1"/>
  <c r="K46" i="6" a="1"/>
  <c r="K46" i="6" s="1"/>
  <c r="K30" i="6" a="1"/>
  <c r="K30" i="6" s="1"/>
  <c r="K14" i="6" a="1"/>
  <c r="K14" i="6" s="1"/>
  <c r="K24" i="5" a="1"/>
  <c r="K24" i="5" s="1"/>
  <c r="K59" i="4" a="1"/>
  <c r="K59" i="4" s="1"/>
  <c r="K27" i="4" a="1"/>
  <c r="K27" i="4" s="1"/>
  <c r="K62" i="3" a="1"/>
  <c r="K62" i="3" s="1"/>
  <c r="K30" i="3" a="1"/>
  <c r="K30" i="3" s="1"/>
  <c r="K65" i="2" a="1"/>
  <c r="K65" i="2" s="1"/>
  <c r="K33" i="2" a="1"/>
  <c r="K33" i="2" s="1"/>
  <c r="K17" i="2" a="1"/>
  <c r="K17" i="2" s="1"/>
  <c r="K2" i="6" a="1"/>
  <c r="K2" i="6" s="1"/>
  <c r="K55" i="9" a="1"/>
  <c r="K55" i="9" s="1"/>
  <c r="K39" i="9" a="1"/>
  <c r="K39" i="9" s="1"/>
  <c r="K23" i="9" a="1"/>
  <c r="K23" i="9" s="1"/>
  <c r="K59" i="7" a="1"/>
  <c r="K59" i="7" s="1"/>
  <c r="K43" i="7" a="1"/>
  <c r="K43" i="7" s="1"/>
  <c r="K27" i="7" a="1"/>
  <c r="K27" i="7" s="1"/>
  <c r="K40" i="5" a="1"/>
  <c r="K40" i="5" s="1"/>
  <c r="K8" i="5" a="1"/>
  <c r="K8" i="5" s="1"/>
  <c r="K43" i="4" a="1"/>
  <c r="K43" i="4" s="1"/>
  <c r="K11" i="4" a="1"/>
  <c r="K11" i="4" s="1"/>
  <c r="K46" i="3" a="1"/>
  <c r="K46" i="3" s="1"/>
  <c r="K14" i="3" a="1"/>
  <c r="K14" i="3" s="1"/>
  <c r="K49" i="2" a="1"/>
  <c r="K49" i="2" s="1"/>
  <c r="K69" i="7" a="1"/>
  <c r="K69" i="7" s="1"/>
  <c r="O3" i="2" a="1"/>
  <c r="O3" i="2" s="1"/>
  <c r="K2" i="4" a="1"/>
  <c r="K2" i="4" s="1"/>
  <c r="K56" i="8" a="1"/>
  <c r="K56" i="8" s="1"/>
  <c r="K40" i="8" a="1"/>
  <c r="K40" i="8" s="1"/>
  <c r="K24" i="8" a="1"/>
  <c r="K24" i="8" s="1"/>
  <c r="K60" i="6" a="1"/>
  <c r="K60" i="6" s="1"/>
  <c r="K44" i="6" a="1"/>
  <c r="K44" i="6" s="1"/>
  <c r="K28" i="6" a="1"/>
  <c r="K28" i="6" s="1"/>
  <c r="K2" i="9" a="1"/>
  <c r="K2" i="9" s="1"/>
  <c r="K69" i="5" a="1"/>
  <c r="K69" i="5" s="1"/>
  <c r="K2" i="7" a="1"/>
  <c r="K2" i="7" s="1"/>
  <c r="O5" i="8" a="1"/>
  <c r="O5" i="8" s="1"/>
  <c r="K69" i="3" a="1"/>
  <c r="K69" i="3" s="1"/>
  <c r="O5" i="2" a="1"/>
  <c r="O5" i="2" s="1"/>
  <c r="Q21" i="9"/>
  <c r="Q11" i="9"/>
  <c r="S21" i="9" s="1"/>
  <c r="Q11" i="5"/>
  <c r="S21" i="5" s="1"/>
  <c r="Q21" i="5"/>
  <c r="Q17" i="2"/>
  <c r="S27" i="2" s="1"/>
  <c r="Q27" i="2"/>
  <c r="Q21" i="8"/>
  <c r="Q11" i="8"/>
  <c r="S21" i="8" s="1"/>
  <c r="Q21" i="7"/>
  <c r="Q11" i="7"/>
  <c r="S21" i="7" s="1"/>
  <c r="Q21" i="6"/>
  <c r="Q11" i="6"/>
  <c r="S21" i="6" s="1"/>
  <c r="Q21" i="4"/>
  <c r="Q11" i="4"/>
  <c r="S21" i="4" s="1"/>
  <c r="Q21" i="2"/>
  <c r="Q11" i="2"/>
  <c r="S21" i="2" s="1"/>
  <c r="O21" i="6"/>
  <c r="O21" i="9"/>
  <c r="P27" i="4"/>
  <c r="Q27" i="4"/>
  <c r="O21" i="5"/>
  <c r="O21" i="8"/>
  <c r="P27" i="2"/>
  <c r="P27" i="5"/>
  <c r="Q27" i="5"/>
  <c r="O21" i="4"/>
  <c r="O21" i="7"/>
  <c r="Q17" i="6"/>
  <c r="S27" i="6" s="1"/>
  <c r="O21" i="2"/>
  <c r="P27" i="6"/>
  <c r="S8" i="3"/>
  <c r="S14" i="3"/>
  <c r="S14" i="7"/>
  <c r="S14" i="9"/>
  <c r="S14" i="8"/>
  <c r="O5" i="5" l="1" a="1"/>
  <c r="O5" i="5" s="1"/>
  <c r="O5" i="7" a="1"/>
  <c r="O5" i="7" s="1"/>
  <c r="Q17" i="3"/>
  <c r="S27" i="3" s="1"/>
  <c r="Q27" i="3"/>
  <c r="Q21" i="3"/>
  <c r="Q11" i="3"/>
  <c r="S21" i="3" s="1"/>
  <c r="Q17" i="9"/>
  <c r="S27" i="9" s="1"/>
  <c r="Q27" i="9"/>
  <c r="Q27" i="8"/>
  <c r="Q17" i="8"/>
  <c r="S27" i="8" s="1"/>
  <c r="Q17" i="7"/>
  <c r="S27" i="7" s="1"/>
  <c r="Q2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AD79A-F2B3-44A5-89A5-54D282A4FB23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  <connection id="2" xr16:uid="{5E6EE299-D032-44BD-93EA-0EF438967958}" keepAlive="1" name="Query - results (2)" description="Connection to the 'results (2)' query in the workbook." type="5" refreshedVersion="8" background="1" saveData="1">
    <dbPr connection="Provider=Microsoft.Mashup.OleDb.1;Data Source=$Workbook$;Location=&quot;results (2)&quot;;Extended Properties=&quot;&quot;" command="SELECT * FROM [results (2)]"/>
  </connection>
  <connection id="3" xr16:uid="{2AF33F74-B177-4650-84D1-C36CC85AE2D4}" keepAlive="1" name="Query - results (3)" description="Connection to the 'results (3)' query in the workbook." type="5" refreshedVersion="8" background="1" saveData="1">
    <dbPr connection="Provider=Microsoft.Mashup.OleDb.1;Data Source=$Workbook$;Location=&quot;results (3)&quot;;Extended Properties=&quot;&quot;" command="SELECT * FROM [results (3)]"/>
  </connection>
  <connection id="4" xr16:uid="{B7E20BE5-9CE6-4ADD-BC03-AE1D7AB519C1}" keepAlive="1" name="Query - results (4)" description="Connection to the 'results (4)' query in the workbook." type="5" refreshedVersion="8" background="1" saveData="1">
    <dbPr connection="Provider=Microsoft.Mashup.OleDb.1;Data Source=$Workbook$;Location=&quot;results (4)&quot;;Extended Properties=&quot;&quot;" command="SELECT * FROM [results (4)]"/>
  </connection>
  <connection id="5" xr16:uid="{2F20335C-3931-43A6-885F-3760FFEFB1C2}" keepAlive="1" name="Query - results (5)" description="Connection to the 'results (5)' query in the workbook." type="5" refreshedVersion="8" background="1" saveData="1">
    <dbPr connection="Provider=Microsoft.Mashup.OleDb.1;Data Source=$Workbook$;Location=&quot;results (5)&quot;;Extended Properties=&quot;&quot;" command="SELECT * FROM [results (5)]"/>
  </connection>
  <connection id="6" xr16:uid="{36002BB0-4431-437C-BC44-374AE63A0D26}" keepAlive="1" name="Query - results (6)" description="Connection to the 'results (6)' query in the workbook." type="5" refreshedVersion="8" background="1" saveData="1">
    <dbPr connection="Provider=Microsoft.Mashup.OleDb.1;Data Source=$Workbook$;Location=&quot;results (6)&quot;;Extended Properties=&quot;&quot;" command="SELECT * FROM [results (6)]"/>
  </connection>
  <connection id="7" xr16:uid="{332447D9-CF65-46EC-8452-04F959A77407}" keepAlive="1" name="Query - results (7)" description="Connection to the 'results (7)' query in the workbook." type="5" refreshedVersion="8" background="1" saveData="1">
    <dbPr connection="Provider=Microsoft.Mashup.OleDb.1;Data Source=$Workbook$;Location=&quot;results (7)&quot;;Extended Properties=&quot;&quot;" command="SELECT * FROM [results (7)]"/>
  </connection>
  <connection id="8" xr16:uid="{2DC6FA66-0E0B-4A22-8EE7-4A519EBFE0A2}" keepAlive="1" name="Query - results (8)" description="Connection to the 'results (8)' query in the workbook." type="5" refreshedVersion="8" background="1" saveData="1">
    <dbPr connection="Provider=Microsoft.Mashup.OleDb.1;Data Source=$Workbook$;Location=&quot;results (8)&quot;;Extended Properties=&quot;&quot;" command="SELECT * FROM [results (8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<sst xmlns="http://schemas.openxmlformats.org/spreadsheetml/2006/main" count="323" uniqueCount="33">
  <si>
    <t>feature extraction</t>
  </si>
  <si>
    <t>batch size</t>
  </si>
  <si>
    <t>learning rate</t>
  </si>
  <si>
    <t>epochs</t>
  </si>
  <si>
    <t>msg per input</t>
  </si>
  <si>
    <t>bfw</t>
  </si>
  <si>
    <t>auc</t>
  </si>
  <si>
    <t>max f1</t>
  </si>
  <si>
    <t>max f1 threshhold</t>
  </si>
  <si>
    <t>Best AUC</t>
  </si>
  <si>
    <t>Best F1</t>
  </si>
  <si>
    <t>Average AUC with BFW</t>
  </si>
  <si>
    <t>Average AUC without BFW</t>
  </si>
  <si>
    <t>Average F1 with BFW</t>
  </si>
  <si>
    <t>Average F1 without BFW</t>
  </si>
  <si>
    <t>Difference in F1 mean with BFW - without BFW</t>
  </si>
  <si>
    <t>Difference in AUC mean with BFW - without BFW</t>
  </si>
  <si>
    <t>F1 Mean T Test p-value</t>
  </si>
  <si>
    <t>AUC Mean T Test p-value</t>
  </si>
  <si>
    <t>Percent Improvement in AUC mean with BFW</t>
  </si>
  <si>
    <t>config ID</t>
  </si>
  <si>
    <t>Tie Threshold</t>
  </si>
  <si>
    <t>Wins</t>
  </si>
  <si>
    <t>Loss</t>
  </si>
  <si>
    <t>attack type</t>
  </si>
  <si>
    <t>combined</t>
  </si>
  <si>
    <t>dos</t>
  </si>
  <si>
    <t>fuzzy</t>
  </si>
  <si>
    <t>gear</t>
  </si>
  <si>
    <t>interval</t>
  </si>
  <si>
    <t>rpm</t>
  </si>
  <si>
    <t>speed</t>
  </si>
  <si>
    <t>standstill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</si>
</sst>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9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0" borderId="2" xfId="0" applyBorder="1"/>
    <xf numFmtId="0" fontId="1" fillId="2" borderId="0" xfId="0" applyFont="1" applyFill="1" applyBorder="1"/>
    <xf numFmtId="0" fontId="0" fillId="6" borderId="2" xfId="0" applyFill="1" applyBorder="1"/>
    <xf numFmtId="0" fontId="0" fillId="4" borderId="2" xfId="0" applyFill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0FE6E-3CF5-4BB6-880A-33E080B848D7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206F25-D0C9-44B8-9BAB-66EFB26D499F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75A291-44B2-46B4-B9AE-34F57E44198F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BBC3121-C688-4744-A6D2-E9865C3ABCA3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12D7085-1243-459A-B222-47617CC5E6DF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EE1B7F2-61BF-43C6-B8D9-EBE680D6E552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FC56B16-F681-4295-A1A4-EE0A9A3C625A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9B8312B-7CF8-4438-80BA-C6728EC316EB}" autoFormatId="16" applyNumberFormats="0" applyBorderFormats="0" applyFontFormats="0" applyPatternFormats="0" applyAlignmentFormats="0" applyWidthHeightFormats="0">
  <queryTableRefresh nextId="10">
    <queryTableFields count="9">
      <queryTableField id="1" name="feature extraction" tableColumnId="1"/>
      <queryTableField id="2" name="batch size" tableColumnId="2"/>
      <queryTableField id="3" name="learning rate" tableColumnId="3"/>
      <queryTableField id="4" name="epochs" tableColumnId="4"/>
      <queryTableField id="5" name="msg per input" tableColumnId="5"/>
      <queryTableField id="6" name="bfw" tableColumnId="6"/>
      <queryTableField id="7" name="auc" tableColumnId="7"/>
      <queryTableField id="8" name="max f1" tableColumnId="8"/>
      <queryTableField id="9" name="max f1 threshhol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A4C95-EF63-406F-9903-AC876AB52F87}" name="results" displayName="results" ref="A1:I69" tableType="queryTable" totalsRowShown="0">
  <autoFilter ref="A1:I69" xr:uid="{E48A4C95-EF63-406F-9903-AC876AB52F87}"/>
  <tableColumns count="9">
    <tableColumn id="1" xr3:uid="{E71A0133-DDFD-4E56-BC3E-F4C6146E2878}" uniqueName="1" name="feature extraction" queryTableFieldId="1"/>
    <tableColumn id="2" xr3:uid="{6C1DC121-A0B6-441F-9FF3-857647D59439}" uniqueName="2" name="batch size" queryTableFieldId="2"/>
    <tableColumn id="3" xr3:uid="{60F792DB-E805-431C-A6CB-1B1231A24430}" uniqueName="3" name="learning rate" queryTableFieldId="3"/>
    <tableColumn id="4" xr3:uid="{B26594A1-AE13-4439-B3E9-7CBEA8D33B3D}" uniqueName="4" name="epochs" queryTableFieldId="4"/>
    <tableColumn id="5" xr3:uid="{572E1C5A-3F7D-45E3-B796-1EE1FB371D1C}" uniqueName="5" name="msg per input" queryTableFieldId="5"/>
    <tableColumn id="6" xr3:uid="{41BB9286-8AE3-43B0-8746-66646893230A}" uniqueName="6" name="bfw" queryTableFieldId="6"/>
    <tableColumn id="7" xr3:uid="{0E81DB67-1EA9-4819-98FD-1BA55BD4724E}" uniqueName="7" name="auc" queryTableFieldId="7"/>
    <tableColumn id="8" xr3:uid="{B61A950F-B5EF-4529-957E-15CB442ABC68}" uniqueName="8" name="max f1" queryTableFieldId="8"/>
    <tableColumn id="9" xr3:uid="{907B1227-1A4B-41C3-A0EE-DBC68E734B02}" uniqueName="9" name="max f1 threshhol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D01849-2DA1-4A0B-A531-BACB2C690A60}" name="results__2" displayName="results__2" ref="A1:I69" tableType="queryTable" totalsRowShown="0">
  <autoFilter ref="A1:I69" xr:uid="{4AD01849-2DA1-4A0B-A531-BACB2C690A60}"/>
  <tableColumns count="9">
    <tableColumn id="1" xr3:uid="{2A6BD049-5741-401C-9C31-2A3A324D99C4}" uniqueName="1" name="feature extraction" queryTableFieldId="1"/>
    <tableColumn id="2" xr3:uid="{EA8443A9-5CFD-4006-9A6C-B6E5394C2816}" uniqueName="2" name="batch size" queryTableFieldId="2"/>
    <tableColumn id="3" xr3:uid="{C1934B6D-5FD2-4294-B737-82AB2ECF373B}" uniqueName="3" name="learning rate" queryTableFieldId="3"/>
    <tableColumn id="4" xr3:uid="{F622766C-6557-464E-9ED4-22721A9D99DA}" uniqueName="4" name="epochs" queryTableFieldId="4"/>
    <tableColumn id="5" xr3:uid="{5DAF23D8-DDBA-4B70-98AD-E7933835C0B9}" uniqueName="5" name="msg per input" queryTableFieldId="5"/>
    <tableColumn id="6" xr3:uid="{D41BF03D-FA2B-4C2D-93C2-620CDFE1E0D7}" uniqueName="6" name="bfw" queryTableFieldId="6"/>
    <tableColumn id="7" xr3:uid="{189EC94F-455D-43E8-BDED-4EFD1E0A8B87}" uniqueName="7" name="auc" queryTableFieldId="7"/>
    <tableColumn id="8" xr3:uid="{FD6485BA-7DA7-41E8-B3A6-D988C28BA86A}" uniqueName="8" name="max f1" queryTableFieldId="8"/>
    <tableColumn id="9" xr3:uid="{EB179C30-A8F2-4DFD-AF9F-06EDC29AB228}" uniqueName="9" name="max f1 threshhold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8FD325-9C20-4609-8A02-5BC6612218DD}" name="results__3" displayName="results__3" ref="A1:I69" tableType="queryTable" totalsRowShown="0">
  <autoFilter ref="A1:I69" xr:uid="{D98FD325-9C20-4609-8A02-5BC6612218DD}"/>
  <tableColumns count="9">
    <tableColumn id="1" xr3:uid="{1F445D26-A4F5-4A50-9B72-30D3F1E5D013}" uniqueName="1" name="feature extraction" queryTableFieldId="1"/>
    <tableColumn id="2" xr3:uid="{684EA957-0262-4005-8109-5DE4C51A5A38}" uniqueName="2" name="batch size" queryTableFieldId="2"/>
    <tableColumn id="3" xr3:uid="{0387D949-144D-4880-93E4-55B75A94EC72}" uniqueName="3" name="learning rate" queryTableFieldId="3"/>
    <tableColumn id="4" xr3:uid="{CD133185-EB05-4DFC-B18B-276ED07DB394}" uniqueName="4" name="epochs" queryTableFieldId="4"/>
    <tableColumn id="5" xr3:uid="{BE62F2E3-DA7B-4976-8570-17A96F9DC2A0}" uniqueName="5" name="msg per input" queryTableFieldId="5"/>
    <tableColumn id="6" xr3:uid="{390335CE-B7AA-4903-A363-6BD24F4F50AC}" uniqueName="6" name="bfw" queryTableFieldId="6"/>
    <tableColumn id="7" xr3:uid="{3607F4CA-CD81-4989-A1D1-036CBE2645FC}" uniqueName="7" name="auc" queryTableFieldId="7"/>
    <tableColumn id="8" xr3:uid="{4242F308-5B67-47AA-97E9-9205EF578F2C}" uniqueName="8" name="max f1" queryTableFieldId="8"/>
    <tableColumn id="9" xr3:uid="{C6615C51-8CDC-45C7-B8E4-6E89E5B36B8C}" uniqueName="9" name="max f1 threshhol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07D9D0-43D2-481C-A9BC-1412E59ACE7E}" name="results__4" displayName="results__4" ref="A1:I69" tableType="queryTable" totalsRowShown="0">
  <autoFilter ref="A1:I69" xr:uid="{B107D9D0-43D2-481C-A9BC-1412E59ACE7E}"/>
  <tableColumns count="9">
    <tableColumn id="1" xr3:uid="{E3A783F4-36D8-42E2-B9BE-0A6C39AD389F}" uniqueName="1" name="feature extraction" queryTableFieldId="1"/>
    <tableColumn id="2" xr3:uid="{26DDBE20-AD4A-4EB8-BA3E-05FB98802E7E}" uniqueName="2" name="batch size" queryTableFieldId="2"/>
    <tableColumn id="3" xr3:uid="{9EBC07D5-B8B5-44B1-9936-36FEEB1BF2CF}" uniqueName="3" name="learning rate" queryTableFieldId="3"/>
    <tableColumn id="4" xr3:uid="{6FEACB08-9CAC-4079-AFE8-4C6462B55A9B}" uniqueName="4" name="epochs" queryTableFieldId="4"/>
    <tableColumn id="5" xr3:uid="{6824AE02-1418-4506-A2D7-6C15E58D5297}" uniqueName="5" name="msg per input" queryTableFieldId="5"/>
    <tableColumn id="6" xr3:uid="{18A73E01-3AE9-45D6-9BB1-36689F71059E}" uniqueName="6" name="bfw" queryTableFieldId="6"/>
    <tableColumn id="7" xr3:uid="{6CD04136-9395-4B59-8BD9-22725BE8974D}" uniqueName="7" name="auc" queryTableFieldId="7"/>
    <tableColumn id="8" xr3:uid="{C7168D6C-653F-4459-894A-E98210E2E3B3}" uniqueName="8" name="max f1" queryTableFieldId="8"/>
    <tableColumn id="9" xr3:uid="{06368362-956F-403F-B8E0-52DEF414A770}" uniqueName="9" name="max f1 threshhold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8EC4EB-2DE1-4DBA-A3FD-29F67C89F3C3}" name="results__5" displayName="results__5" ref="A1:I69" tableType="queryTable" totalsRowShown="0">
  <autoFilter ref="A1:I69" xr:uid="{118EC4EB-2DE1-4DBA-A3FD-29F67C89F3C3}"/>
  <tableColumns count="9">
    <tableColumn id="1" xr3:uid="{7E6EDBEC-F8B8-4225-8376-CA5F25A05EED}" uniqueName="1" name="feature extraction" queryTableFieldId="1"/>
    <tableColumn id="2" xr3:uid="{AEC1E845-577D-498E-8E79-C1897E6CDECD}" uniqueName="2" name="batch size" queryTableFieldId="2"/>
    <tableColumn id="3" xr3:uid="{BB7089B2-F162-4DFE-AE13-FE636568204C}" uniqueName="3" name="learning rate" queryTableFieldId="3"/>
    <tableColumn id="4" xr3:uid="{938F0B64-B55B-4598-AFD7-8FEBB04F6513}" uniqueName="4" name="epochs" queryTableFieldId="4"/>
    <tableColumn id="5" xr3:uid="{0C768E45-19E9-4DFE-B758-03E1FFE86E3E}" uniqueName="5" name="msg per input" queryTableFieldId="5"/>
    <tableColumn id="6" xr3:uid="{3E64687E-1846-4465-AADD-F1EBE716E210}" uniqueName="6" name="bfw" queryTableFieldId="6"/>
    <tableColumn id="7" xr3:uid="{F8A5C3F9-F03F-4DC7-9040-CFA6C98260F6}" uniqueName="7" name="auc" queryTableFieldId="7"/>
    <tableColumn id="8" xr3:uid="{114B9FCE-F3A9-4664-8F62-E1A8372E3125}" uniqueName="8" name="max f1" queryTableFieldId="8"/>
    <tableColumn id="9" xr3:uid="{0CEEB165-C14E-4E2E-BECE-290A21B54AFA}" uniqueName="9" name="max f1 threshhold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476FD4-1888-4492-8A9F-F53592753E62}" name="results__6" displayName="results__6" ref="A1:I69" tableType="queryTable" totalsRowShown="0">
  <autoFilter ref="A1:I69" xr:uid="{BE476FD4-1888-4492-8A9F-F53592753E62}"/>
  <tableColumns count="9">
    <tableColumn id="1" xr3:uid="{0A6B44AF-DDD5-49B3-96BD-2C3236F558E0}" uniqueName="1" name="feature extraction" queryTableFieldId="1"/>
    <tableColumn id="2" xr3:uid="{AFA9EFAD-1778-409E-9C19-DCA17F7DCA15}" uniqueName="2" name="batch size" queryTableFieldId="2"/>
    <tableColumn id="3" xr3:uid="{30A08C83-BDF6-4B08-B4A4-BFB732BF6B29}" uniqueName="3" name="learning rate" queryTableFieldId="3"/>
    <tableColumn id="4" xr3:uid="{51EF87A6-0B35-41C2-BA5F-8EF9A85531AE}" uniqueName="4" name="epochs" queryTableFieldId="4"/>
    <tableColumn id="5" xr3:uid="{1530F4F3-C17A-45D6-8EBD-E91E77C72C0F}" uniqueName="5" name="msg per input" queryTableFieldId="5"/>
    <tableColumn id="6" xr3:uid="{C77B8966-BCB9-4E07-BFB8-A98A4C53C1DB}" uniqueName="6" name="bfw" queryTableFieldId="6"/>
    <tableColumn id="7" xr3:uid="{AA8CD304-E9F5-4833-AFBC-3FB814193F8C}" uniqueName="7" name="auc" queryTableFieldId="7"/>
    <tableColumn id="8" xr3:uid="{7A75598D-3631-43CC-A746-CE6684AACA1E}" uniqueName="8" name="max f1" queryTableFieldId="8"/>
    <tableColumn id="9" xr3:uid="{94294DD9-B430-4DCA-BE21-BDDB6A4EE401}" uniqueName="9" name="max f1 threshhold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D38B3D-C30F-4405-B974-148A733C4EA2}" name="results__7" displayName="results__7" ref="A1:I69" tableType="queryTable" totalsRowShown="0">
  <autoFilter ref="A1:I69" xr:uid="{6DD38B3D-C30F-4405-B974-148A733C4EA2}"/>
  <tableColumns count="9">
    <tableColumn id="1" xr3:uid="{D77C2095-6EE8-4BFE-B929-1266B70727AD}" uniqueName="1" name="feature extraction" queryTableFieldId="1"/>
    <tableColumn id="2" xr3:uid="{3203B31B-909A-4C6A-ACFC-CEF9DF4D5094}" uniqueName="2" name="batch size" queryTableFieldId="2"/>
    <tableColumn id="3" xr3:uid="{CB729B42-6F3B-46D2-9403-B7ADF57D523D}" uniqueName="3" name="learning rate" queryTableFieldId="3"/>
    <tableColumn id="4" xr3:uid="{B93EAD2C-BEC0-44F5-B240-08FBC598BCCC}" uniqueName="4" name="epochs" queryTableFieldId="4"/>
    <tableColumn id="5" xr3:uid="{C94CC3C7-4279-4395-8835-39391F37E2F7}" uniqueName="5" name="msg per input" queryTableFieldId="5"/>
    <tableColumn id="6" xr3:uid="{973FF834-68DA-4ADA-8612-F277771D620B}" uniqueName="6" name="bfw" queryTableFieldId="6"/>
    <tableColumn id="7" xr3:uid="{E245BA28-CD0A-4790-9F13-8B55C1420E3F}" uniqueName="7" name="auc" queryTableFieldId="7"/>
    <tableColumn id="8" xr3:uid="{F50F8E10-05F9-4347-AAFF-6CBF9505D764}" uniqueName="8" name="max f1" queryTableFieldId="8"/>
    <tableColumn id="9" xr3:uid="{C2FE4316-BFB5-45B5-A523-D677CC4CB24D}" uniqueName="9" name="max f1 threshhold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1349DC-755E-4692-8297-BD5B2DAC183C}" name="results__8" displayName="results__8" ref="A1:I69" tableType="queryTable" totalsRowShown="0">
  <autoFilter ref="A1:I69" xr:uid="{641349DC-755E-4692-8297-BD5B2DAC183C}"/>
  <tableColumns count="9">
    <tableColumn id="1" xr3:uid="{8C394648-65DD-4221-96E3-891DC412227B}" uniqueName="1" name="feature extraction" queryTableFieldId="1"/>
    <tableColumn id="2" xr3:uid="{ABC59C35-0C8F-4E79-B7DD-B6D482ADD02B}" uniqueName="2" name="batch size" queryTableFieldId="2"/>
    <tableColumn id="3" xr3:uid="{EA36A1CD-2922-42AC-A8C3-ABFDB57BC119}" uniqueName="3" name="learning rate" queryTableFieldId="3"/>
    <tableColumn id="4" xr3:uid="{871A2460-7E6F-415B-B46F-310F71D8F838}" uniqueName="4" name="epochs" queryTableFieldId="4"/>
    <tableColumn id="5" xr3:uid="{48FBB73D-9CA6-4516-9EA2-E285257FFE40}" uniqueName="5" name="msg per input" queryTableFieldId="5"/>
    <tableColumn id="6" xr3:uid="{2259DEDE-44EF-4AF7-A02A-A6087AA45E82}" uniqueName="6" name="bfw" queryTableFieldId="6"/>
    <tableColumn id="7" xr3:uid="{C92A8E64-F574-4F95-9C5C-2CA775D2BFEA}" uniqueName="7" name="auc" queryTableFieldId="7"/>
    <tableColumn id="8" xr3:uid="{7E82C459-D86E-410F-8A24-18995DBA646D}" uniqueName="8" name="max f1" queryTableFieldId="8"/>
    <tableColumn id="9" xr3:uid="{44434AD6-FB51-4632-A766-4DFBBE1A3202}" uniqueName="9" name="max f1 threshhol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DC78-A158-4892-91BB-01E3B917203F}">
  <dimension ref="A1:Y70"/>
  <sheetViews>
    <sheetView workbookViewId="0">
      <selection activeCell="P5" sqref="P5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0.87364046210200041</v>
      </c>
      <c r="H2">
        <v>0.12448132780082988</v>
      </c>
      <c r="I2">
        <v>0.54392657048848214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8.0005347401111565E-3</v>
      </c>
      <c r="L2">
        <f>IF(AND(F2=1, K2 &gt; $N$2), 1, 0)</f>
        <v>1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0.87312799380107053</v>
      </c>
      <c r="H3">
        <v>0.12396694214876035</v>
      </c>
      <c r="I3">
        <v>0.54266988927004289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7.486149088041627E-3</v>
      </c>
      <c r="L3">
        <f t="shared" ref="L3:L66" si="1">IF(AND(F3=1, K3 &gt; $N$2), 1, 0)</f>
        <v>1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2E-3</v>
      </c>
      <c r="R3" s="3">
        <v>1000</v>
      </c>
      <c r="S3" s="3">
        <v>256</v>
      </c>
      <c r="T3" s="3">
        <v>1</v>
      </c>
      <c r="U3" s="3">
        <v>0.93214677060830897</v>
      </c>
      <c r="V3" s="3">
        <v>0.18867924528301885</v>
      </c>
      <c r="W3" s="3">
        <v>1.3812734922584222</v>
      </c>
      <c r="X3" s="3" t="str">
        <v>1_512_0.002_1000_256</v>
      </c>
      <c r="Y3" s="3">
        <v>2.8835190702122176E-2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0.87302233023386855</v>
      </c>
      <c r="H4">
        <v>0.12465373961218837</v>
      </c>
      <c r="I4">
        <v>0.5432824258293425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8.1729465514696481E-3</v>
      </c>
      <c r="L4">
        <f t="shared" si="1"/>
        <v>1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0.86589708368554519</v>
      </c>
      <c r="H5">
        <v>0.11648079306071872</v>
      </c>
      <c r="I5">
        <v>0.50726320670575509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8.0005347401111565E-3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2E-3</v>
      </c>
      <c r="R5" s="3">
        <v>1000</v>
      </c>
      <c r="S5" s="3">
        <v>256</v>
      </c>
      <c r="T5" s="3">
        <v>1</v>
      </c>
      <c r="U5" s="3">
        <v>0.93214677060830897</v>
      </c>
      <c r="V5" s="3">
        <v>0.18867924528301885</v>
      </c>
      <c r="W5" s="3">
        <v>1.3812734922584222</v>
      </c>
      <c r="X5" s="3" t="str">
        <v>1_512_0.002_1000_256</v>
      </c>
      <c r="Y5" s="3">
        <v>2.8835190702122176E-2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0.88123943364327972</v>
      </c>
      <c r="H6">
        <v>0.13024602026049203</v>
      </c>
      <c r="I6">
        <v>0.58466297509718912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4.7344240804101934E-3</v>
      </c>
      <c r="L6">
        <f t="shared" si="1"/>
        <v>1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0.88062482389405461</v>
      </c>
      <c r="H7">
        <v>0.13258110014104371</v>
      </c>
      <c r="I7">
        <v>0.56031810994050946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1.0661515186439277E-2</v>
      </c>
      <c r="L7">
        <f t="shared" si="1"/>
        <v>1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0.87086855452240064</v>
      </c>
      <c r="H8">
        <v>0.12191958495460443</v>
      </c>
      <c r="I8">
        <v>0.51598737525696659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1.0661515186439277E-2</v>
      </c>
      <c r="L8">
        <f t="shared" si="1"/>
        <v>0</v>
      </c>
      <c r="M8">
        <f t="shared" si="2"/>
        <v>0</v>
      </c>
      <c r="O8">
        <f>AVERAGEIF(F:F, 1, G:G)</f>
        <v>0.82609576200509049</v>
      </c>
      <c r="Q8">
        <f>AVERAGEIF(F:F, 0, G:G)</f>
        <v>0.81653983584785128</v>
      </c>
      <c r="S8">
        <f>O8-Q8</f>
        <v>9.555926157239214E-3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0.87448400958016337</v>
      </c>
      <c r="H9">
        <v>0.12551159618008184</v>
      </c>
      <c r="I9">
        <v>0.53182275562870251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4.7344240804101934E-3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0.88500630718148721</v>
      </c>
      <c r="H10">
        <v>0.14285714285714288</v>
      </c>
      <c r="I10">
        <v>0.59176155286175858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8.6917762424782719E-3</v>
      </c>
      <c r="L10">
        <f t="shared" si="1"/>
        <v>1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0.87993639654530775</v>
      </c>
      <c r="H11">
        <v>0.13416536661466461</v>
      </c>
      <c r="I11">
        <v>0.53742472006350139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8.6917762424782719E-3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0.76154836513311586</v>
      </c>
      <c r="Q11">
        <f>(S8)/Q8*100</f>
        <v>1.1702951574085607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0.88783849748921007</v>
      </c>
      <c r="H12">
        <v>0.14488188976377953</v>
      </c>
      <c r="I12">
        <v>0.54592661468350157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-2.7906624031546756E-3</v>
      </c>
      <c r="L12">
        <f t="shared" si="1"/>
        <v>0</v>
      </c>
      <c r="M12">
        <f t="shared" si="2"/>
        <v>1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0.88769592135597142</v>
      </c>
      <c r="H13">
        <v>0.14681892332789562</v>
      </c>
      <c r="I13">
        <v>0.55315613716232526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6.9379709469432338E-3</v>
      </c>
      <c r="L13">
        <f t="shared" si="1"/>
        <v>1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0.88072177355043568</v>
      </c>
      <c r="H14">
        <v>0.13988095238095238</v>
      </c>
      <c r="I14">
        <v>0.52650787514083242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6.9379709469432338E-3</v>
      </c>
      <c r="L14">
        <f t="shared" si="1"/>
        <v>0</v>
      </c>
      <c r="M14">
        <f t="shared" si="2"/>
        <v>0</v>
      </c>
      <c r="O14">
        <f>AVERAGEIF(F:F, 1, H:H)</f>
        <v>0.11797939130016175</v>
      </c>
      <c r="Q14">
        <f>AVERAGEIF(F:F, 0, H:H)</f>
        <v>0.1119590037367621</v>
      </c>
      <c r="S14">
        <f>O14-Q14</f>
        <v>6.0203875633996484E-3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0.89040003479824259</v>
      </c>
      <c r="H15">
        <v>0.1476725521669342</v>
      </c>
      <c r="I15">
        <v>0.54567521171910416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-2.7906624031546756E-3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0.87939736545505764</v>
      </c>
      <c r="H16">
        <v>0.12960609911054638</v>
      </c>
      <c r="I16">
        <v>0.51235213450023109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1.0499399358685338E-2</v>
      </c>
      <c r="L16">
        <f t="shared" si="1"/>
        <v>1</v>
      </c>
      <c r="M16">
        <f t="shared" si="2"/>
        <v>0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0.86816885038038871</v>
      </c>
      <c r="H17">
        <v>0.11910669975186104</v>
      </c>
      <c r="I17">
        <v>0.50138963728534935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1.0499399358685338E-2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0.59071569564903825</v>
      </c>
      <c r="Q17">
        <f>(S14)/Q14*100</f>
        <v>5.3773143404837525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0.88116723020569165</v>
      </c>
      <c r="H18">
        <v>0.13197969543147209</v>
      </c>
      <c r="I18">
        <v>0.51412949483005366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6.5274604706716532E-4</v>
      </c>
      <c r="L18">
        <f t="shared" si="1"/>
        <v>0</v>
      </c>
      <c r="M18">
        <f t="shared" si="2"/>
        <v>0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0.87697590870667785</v>
      </c>
      <c r="H19">
        <v>0.12848484848484851</v>
      </c>
      <c r="I19">
        <v>0.49881924050194876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4.1067390321121999E-3</v>
      </c>
      <c r="L19">
        <f t="shared" si="1"/>
        <v>1</v>
      </c>
      <c r="M19">
        <f t="shared" si="2"/>
        <v>0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0.87202380952380953</v>
      </c>
      <c r="H20">
        <v>0.12437810945273631</v>
      </c>
      <c r="I20">
        <v>0.50407390935080398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4.1067390321121999E-3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0.8793656663848971</v>
      </c>
      <c r="H21">
        <v>0.13132694938440492</v>
      </c>
      <c r="I21">
        <v>0.52721864654093376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6.5274604706716532E-4</v>
      </c>
      <c r="L21">
        <f t="shared" si="1"/>
        <v>0</v>
      </c>
      <c r="M21">
        <f t="shared" si="2"/>
        <v>0</v>
      </c>
      <c r="O21">
        <f>O8</f>
        <v>0.82609576200509049</v>
      </c>
      <c r="P21">
        <f>Q8</f>
        <v>0.81653983584785128</v>
      </c>
      <c r="Q21">
        <f>S8</f>
        <v>9.555926157239214E-3</v>
      </c>
      <c r="R21">
        <f>O11</f>
        <v>0.76154836513311586</v>
      </c>
      <c r="S21">
        <f>Q11</f>
        <v>1.1702951574085607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0.89183062921989098</v>
      </c>
      <c r="H22">
        <v>0.15410385259631493</v>
      </c>
      <c r="I22">
        <v>0.56769013404846191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-1.6990090888996945E-3</v>
      </c>
      <c r="L22">
        <f t="shared" si="1"/>
        <v>0</v>
      </c>
      <c r="M22">
        <f t="shared" si="2"/>
        <v>0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0.88495072665497054</v>
      </c>
      <c r="H23">
        <v>0.15580286168521462</v>
      </c>
      <c r="I23">
        <v>0.53799194584087451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-1.6990090888996945E-3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0.89943066208489797</v>
      </c>
      <c r="H24">
        <v>0.16404886561954624</v>
      </c>
      <c r="I24">
        <v>0.59064644879224348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1.4643093123790724E-2</v>
      </c>
      <c r="L24">
        <f t="shared" si="1"/>
        <v>1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0.88614449970276499</v>
      </c>
      <c r="H25">
        <v>0.15032679738562094</v>
      </c>
      <c r="I25">
        <v>0.55485303487096516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6.6317827228643267E-3</v>
      </c>
      <c r="L25">
        <f t="shared" si="1"/>
        <v>1</v>
      </c>
      <c r="M25">
        <f t="shared" si="2"/>
        <v>0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0.88450608244283657</v>
      </c>
      <c r="H26">
        <v>0.14369501466275661</v>
      </c>
      <c r="I26">
        <v>0.51475247314998085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6.6317827228643267E-3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0.88875195135978957</v>
      </c>
      <c r="H27">
        <v>0.14940577249575551</v>
      </c>
      <c r="I27">
        <v>0.56300779538495194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1.4643093123790724E-2</v>
      </c>
      <c r="L27">
        <f t="shared" si="1"/>
        <v>0</v>
      </c>
      <c r="M27">
        <f t="shared" si="2"/>
        <v>0</v>
      </c>
      <c r="O27">
        <f>O14</f>
        <v>0.11797939130016175</v>
      </c>
      <c r="P27">
        <f>Q14</f>
        <v>0.1119590037367621</v>
      </c>
      <c r="Q27">
        <f>S14</f>
        <v>6.0203875633996484E-3</v>
      </c>
      <c r="R27">
        <f>O17</f>
        <v>0.59071569564903825</v>
      </c>
      <c r="S27">
        <f>Q17</f>
        <v>5.3773143404837525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0.65311506271739417</v>
      </c>
      <c r="H28">
        <v>4.1574524546660767E-2</v>
      </c>
      <c r="I28">
        <v>0.45470345476452184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-3.4015520083631595E-3</v>
      </c>
      <c r="L28">
        <f t="shared" si="1"/>
        <v>0</v>
      </c>
      <c r="M28">
        <f t="shared" si="2"/>
        <v>1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0.65846858878801007</v>
      </c>
      <c r="H29">
        <v>4.4976076555023926E-2</v>
      </c>
      <c r="I29">
        <v>0.47871371982048971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-3.4015520083631595E-3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0.66891426043443269</v>
      </c>
      <c r="H30">
        <v>4.5090909090909091E-2</v>
      </c>
      <c r="I30">
        <v>0.50101400759755355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1.0174533313097589E-3</v>
      </c>
      <c r="L30">
        <f t="shared" si="1"/>
        <v>0</v>
      </c>
      <c r="M30">
        <f t="shared" si="2"/>
        <v>0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0.66724671653185874</v>
      </c>
      <c r="H31">
        <v>4.4073455759599332E-2</v>
      </c>
      <c r="I31">
        <v>0.40686053645854098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1.0174533313097589E-3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0.78422504220727485</v>
      </c>
      <c r="H32">
        <v>6.4450127877237862E-2</v>
      </c>
      <c r="I32">
        <v>0.44371625841880336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1.375888363760653E-2</v>
      </c>
      <c r="L32">
        <f t="shared" si="1"/>
        <v>1</v>
      </c>
      <c r="M32">
        <f t="shared" si="2"/>
        <v>0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0.73497680614015137</v>
      </c>
      <c r="H33">
        <v>5.0691244239631332E-2</v>
      </c>
      <c r="I33">
        <v>0.46505102332757448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1.375888363760653E-2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0.85442475075170121</v>
      </c>
      <c r="H34">
        <v>9.152752009894867E-2</v>
      </c>
      <c r="I34">
        <v>0.47731007970109279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1.4171683249440931E-2</v>
      </c>
      <c r="L34">
        <f t="shared" si="1"/>
        <v>1</v>
      </c>
      <c r="M34">
        <f t="shared" si="2"/>
        <v>0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0.82670042728279791</v>
      </c>
      <c r="H35">
        <v>7.7355836849507739E-2</v>
      </c>
      <c r="I35">
        <v>0.44313675530102786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1.4171683249440931E-2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0.81430368729229308</v>
      </c>
      <c r="H36">
        <v>7.7937649880095924E-2</v>
      </c>
      <c r="I36">
        <v>0.50462531982635972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-1.6217136449958591E-3</v>
      </c>
      <c r="L36">
        <f t="shared" si="1"/>
        <v>0</v>
      </c>
      <c r="M36">
        <f t="shared" si="2"/>
        <v>0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0.8310737458458618</v>
      </c>
      <c r="H37">
        <v>7.9559363525091784E-2</v>
      </c>
      <c r="I37">
        <v>0.42672833891547457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-1.6217136449958591E-3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0.87066182305098194</v>
      </c>
      <c r="H38">
        <v>0.10218978102189781</v>
      </c>
      <c r="I38">
        <v>0.51998410419541963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2.4874000695168791E-3</v>
      </c>
      <c r="L38">
        <f t="shared" si="1"/>
        <v>1</v>
      </c>
      <c r="M38">
        <f t="shared" si="2"/>
        <v>0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0.86373611386629634</v>
      </c>
      <c r="H39">
        <v>9.9702380952380931E-2</v>
      </c>
      <c r="I39">
        <v>0.42726959500994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2.4874000695168791E-3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0.48466037677529206</v>
      </c>
      <c r="H40">
        <v>2.6321036889331999E-2</v>
      </c>
      <c r="I40">
        <v>0.13437997979321042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2.2374831050189434E-3</v>
      </c>
      <c r="L40">
        <f t="shared" si="1"/>
        <v>1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0.47613807372099665</v>
      </c>
      <c r="H41">
        <v>2.4083553784313056E-2</v>
      </c>
      <c r="I41">
        <v>9.7831282764673233E-3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2.2374831050189434E-3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0.45013992522908386</v>
      </c>
      <c r="H42">
        <v>2.4049197787473806E-2</v>
      </c>
      <c r="I42">
        <v>1.060987263917923E-2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-3.4355996839249836E-5</v>
      </c>
      <c r="L42">
        <f t="shared" si="1"/>
        <v>0</v>
      </c>
      <c r="M42">
        <f t="shared" si="2"/>
        <v>0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0.47540769498492103</v>
      </c>
      <c r="H43">
        <v>2.4083553784313056E-2</v>
      </c>
      <c r="I43">
        <v>1.1465685442090034E-2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-3.4355996839249836E-5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0.88625669202592283</v>
      </c>
      <c r="H44">
        <v>0.14285714285714285</v>
      </c>
      <c r="I44">
        <v>0.53693706587869294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2.285714285714284E-2</v>
      </c>
      <c r="L44">
        <f t="shared" si="1"/>
        <v>1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0.87169273034657646</v>
      </c>
      <c r="H45">
        <v>0.12000000000000001</v>
      </c>
      <c r="I45">
        <v>0.50949957115309585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2.285714285714284E-2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0.88696287686672293</v>
      </c>
      <c r="H46">
        <v>0.14464534075104313</v>
      </c>
      <c r="I46">
        <v>0.5418417919047025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1.5945212050914426E-2</v>
      </c>
      <c r="L46">
        <f t="shared" si="1"/>
        <v>1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0.87619047619047619</v>
      </c>
      <c r="H47">
        <v>0.12444444444444444</v>
      </c>
      <c r="I47">
        <v>0.48281960098110899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6.4957264957265087E-3</v>
      </c>
      <c r="L47">
        <f t="shared" si="1"/>
        <v>1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0.86745386024232174</v>
      </c>
      <c r="H48">
        <v>0.11794871794871793</v>
      </c>
      <c r="I48">
        <v>0.5091046605791365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6.4957264957265087E-3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0.87552303465765002</v>
      </c>
      <c r="H49">
        <v>0.1287001287001287</v>
      </c>
      <c r="I49">
        <v>0.51397742057333184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1.5945212050914426E-2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0.88548961610771981</v>
      </c>
      <c r="H50">
        <v>0.15170278637770895</v>
      </c>
      <c r="I50">
        <v>0.54092055802442585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1.5204270057234154E-2</v>
      </c>
      <c r="L50">
        <f t="shared" si="1"/>
        <v>1</v>
      </c>
      <c r="M50">
        <f t="shared" si="2"/>
        <v>0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0.87675380726606633</v>
      </c>
      <c r="H51">
        <v>0.1364985163204748</v>
      </c>
      <c r="I51">
        <v>0.52073652646979507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1.5204270057234154E-2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0.89068035397545764</v>
      </c>
      <c r="H52">
        <v>0.15333333333333335</v>
      </c>
      <c r="I52">
        <v>0.56261301770502203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-2.0064724919093557E-3</v>
      </c>
      <c r="L52">
        <f t="shared" si="1"/>
        <v>0</v>
      </c>
      <c r="M52">
        <f t="shared" si="2"/>
        <v>1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0.88576510219567239</v>
      </c>
      <c r="H53">
        <v>0.13476263399693722</v>
      </c>
      <c r="I53">
        <v>0.53293351737820371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-3.7915828705326615E-3</v>
      </c>
      <c r="L53">
        <f t="shared" si="1"/>
        <v>0</v>
      </c>
      <c r="M53">
        <f t="shared" si="2"/>
        <v>1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0.88308273765508172</v>
      </c>
      <c r="H54">
        <v>0.13855421686746988</v>
      </c>
      <c r="I54">
        <v>0.52135273266811755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-3.7915828705326615E-3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0.8889694403765942</v>
      </c>
      <c r="H55">
        <v>0.1553398058252427</v>
      </c>
      <c r="I55">
        <v>0.54566024882452835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-2.0064724919093557E-3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0.87743026204564656</v>
      </c>
      <c r="H56">
        <v>0.12386706948640484</v>
      </c>
      <c r="I56">
        <v>0.70089806829180035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-2.0619622528804296E-2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0.88903603518988128</v>
      </c>
      <c r="H57">
        <v>0.14448669201520914</v>
      </c>
      <c r="I57">
        <v>0.57595115048544754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-2.0619622528804296E-2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0.91110484956638804</v>
      </c>
      <c r="H58">
        <v>0.16448598130841119</v>
      </c>
      <c r="I58">
        <v>0.68731379326508968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4.1653400258460649E-3</v>
      </c>
      <c r="L58">
        <f t="shared" si="1"/>
        <v>1</v>
      </c>
      <c r="M58">
        <f t="shared" si="2"/>
        <v>0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0.902560971791741</v>
      </c>
      <c r="H59">
        <v>0.16032064128256512</v>
      </c>
      <c r="I59">
        <v>0.61489997408827957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4.1653400258460649E-3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0.91358129050436743</v>
      </c>
      <c r="H60">
        <v>0.17165668662674655</v>
      </c>
      <c r="I60">
        <v>0.75891956139583971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9.2804490029841646E-3</v>
      </c>
      <c r="L60">
        <f t="shared" si="1"/>
        <v>1</v>
      </c>
      <c r="M60">
        <f t="shared" si="2"/>
        <v>0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0.91104223411915719</v>
      </c>
      <c r="H61">
        <v>0.16387337057728119</v>
      </c>
      <c r="I61">
        <v>0.60869766954256566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3.5527292947160616E-3</v>
      </c>
      <c r="L61">
        <f t="shared" si="1"/>
        <v>1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0.9071350302119533</v>
      </c>
      <c r="H62">
        <v>0.16032064128256512</v>
      </c>
      <c r="I62">
        <v>0.60732620103018631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3.5527292947160616E-3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0.90805234651388489</v>
      </c>
      <c r="H63">
        <v>0.16237623762376238</v>
      </c>
      <c r="I63">
        <v>0.60534009793583232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9.2804490029841646E-3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0.93214677060830897</v>
      </c>
      <c r="H64">
        <v>0.18867924528301885</v>
      </c>
      <c r="I64">
        <v>1.3812734922584222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2.8835190702122176E-2</v>
      </c>
      <c r="L64">
        <f t="shared" si="1"/>
        <v>1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0.90606430606430599</v>
      </c>
      <c r="H65">
        <v>0.15984405458089668</v>
      </c>
      <c r="I65">
        <v>0.59684644791544694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2.8835190702122176E-2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0.57705539597702071</v>
      </c>
      <c r="H66">
        <v>3.1964152352501864E-2</v>
      </c>
      <c r="I66">
        <v>0.27493829508217016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4.0637462073491171E-3</v>
      </c>
      <c r="L66">
        <f t="shared" si="1"/>
        <v>1</v>
      </c>
      <c r="M66">
        <f t="shared" si="2"/>
        <v>0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0.54367553927765588</v>
      </c>
      <c r="H67">
        <v>2.7900406145152747E-2</v>
      </c>
      <c r="I67">
        <v>0.29773188488824026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4.0637462073491171E-3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0.54205875646093027</v>
      </c>
      <c r="H68">
        <v>3.0828516377649329E-2</v>
      </c>
      <c r="I68">
        <v>0.52742937450506244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2.3431698972330058E-3</v>
      </c>
      <c r="L68">
        <f t="shared" si="4"/>
        <v>1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0.55199163679569863</v>
      </c>
      <c r="H69">
        <v>2.8485346480416323E-2</v>
      </c>
      <c r="I69">
        <v>0.36821307196300856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2.3431698972330058E-3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25</v>
      </c>
      <c r="M70">
        <f>SUM(M2:M69)</f>
        <v>5</v>
      </c>
      <c r="N70">
        <f>68-L70-M70</f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D932-C2FB-43D3-A423-4AF7989812BD}">
  <dimension ref="A1:Y70"/>
  <sheetViews>
    <sheetView topLeftCell="A25" workbookViewId="0">
      <selection activeCell="Q33" sqref="Q33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0.85436893203883491</v>
      </c>
      <c r="H2">
        <v>0.90142671854734113</v>
      </c>
      <c r="I2">
        <v>0.4522119006332086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-7.8970909281539381E-4</v>
      </c>
      <c r="L2">
        <f>IF(AND(F2=1, K2 &gt; $N$2), 1, 0)</f>
        <v>0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0.85451266216003186</v>
      </c>
      <c r="H3">
        <v>0.89967637540453071</v>
      </c>
      <c r="I3">
        <v>0.45170945050765055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-2.5400522356258115E-3</v>
      </c>
      <c r="L3">
        <f t="shared" ref="L3:L66" si="1">IF(AND(F3=1, K3 &gt; $N$2), 1, 0)</f>
        <v>0</v>
      </c>
      <c r="M3">
        <f t="shared" ref="M3:M66" si="2">IF(AND(F3=1, K3 &lt; -$N$2), 1, 0)</f>
        <v>1</v>
      </c>
      <c r="O3" s="3" cm="1">
        <f t="array" ref="O3:Y3">_xlfn.XLOOKUP(MAX(G:G), G:G, A:A:K:K)</f>
        <v>1</v>
      </c>
      <c r="P3" s="3">
        <v>512</v>
      </c>
      <c r="Q3" s="3">
        <v>1E-4</v>
      </c>
      <c r="R3" s="3">
        <v>1000</v>
      </c>
      <c r="S3" s="3">
        <v>256</v>
      </c>
      <c r="T3" s="3">
        <v>0</v>
      </c>
      <c r="U3" s="3">
        <v>0.87194574052396412</v>
      </c>
      <c r="V3" s="3">
        <v>0.91052631578947385</v>
      </c>
      <c r="W3" s="3">
        <v>0.47789694520891929</v>
      </c>
      <c r="X3" s="3" t="str">
        <v>1_512_0.0001_1000_256</v>
      </c>
      <c r="Y3" s="3">
        <v>-3.735979292493552E-2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0.85461466418152643</v>
      </c>
      <c r="H4">
        <v>0.90142671854734113</v>
      </c>
      <c r="I4">
        <v>0.45219131148591329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-7.8970909281539381E-4</v>
      </c>
      <c r="L4">
        <f t="shared" si="1"/>
        <v>0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0.85139464582116264</v>
      </c>
      <c r="H5">
        <v>0.90221642764015653</v>
      </c>
      <c r="I5">
        <v>0.42869145924947699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-7.8970909281539381E-4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256</v>
      </c>
      <c r="Q5" s="3">
        <v>1.8000000000000002E-3</v>
      </c>
      <c r="R5" s="3">
        <v>1000</v>
      </c>
      <c r="S5" s="3">
        <v>224</v>
      </c>
      <c r="T5" s="3">
        <v>0</v>
      </c>
      <c r="U5" s="3">
        <v>0.85944816053511708</v>
      </c>
      <c r="V5" s="3">
        <v>0.91271056661562022</v>
      </c>
      <c r="W5" s="3">
        <v>0.45090364984103609</v>
      </c>
      <c r="X5" s="3" t="str">
        <v>1_256_0.0018_1000_224</v>
      </c>
      <c r="Y5" s="3">
        <v>-1.3387949905585561E-4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0.8493905379215696</v>
      </c>
      <c r="H6">
        <v>0.90201168072680082</v>
      </c>
      <c r="I6">
        <v>0.46174795165353894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-3.278978972741986E-3</v>
      </c>
      <c r="L6">
        <f t="shared" si="1"/>
        <v>0</v>
      </c>
      <c r="M6">
        <f t="shared" si="2"/>
        <v>1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0.85353205181702685</v>
      </c>
      <c r="H7">
        <v>0.90355987055016174</v>
      </c>
      <c r="I7">
        <v>0.4459174019949777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1.8781111711190235E-3</v>
      </c>
      <c r="L7">
        <f t="shared" si="1"/>
        <v>0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0.85097620571025856</v>
      </c>
      <c r="H8">
        <v>0.90168175937904271</v>
      </c>
      <c r="I8">
        <v>0.42360061772015634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1.8781111711190235E-3</v>
      </c>
      <c r="L8">
        <f t="shared" si="1"/>
        <v>0</v>
      </c>
      <c r="M8">
        <f t="shared" si="2"/>
        <v>0</v>
      </c>
      <c r="O8">
        <f>AVERAGEIF(F:F, 1, G:G)</f>
        <v>0.80550158038688213</v>
      </c>
      <c r="Q8">
        <f>AVERAGEIF(F:F, 0, G:G)</f>
        <v>0.81437112211182772</v>
      </c>
      <c r="S8">
        <f>O8-Q8</f>
        <v>-8.8695417249455843E-3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0.85421592900659293</v>
      </c>
      <c r="H9">
        <v>0.90529065969954281</v>
      </c>
      <c r="I9">
        <v>0.44673848456265974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-3.278978972741986E-3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0.8468716476304663</v>
      </c>
      <c r="H10">
        <v>0.90288315629742022</v>
      </c>
      <c r="I10">
        <v>0.46586354168093935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-2.8919196904215738E-3</v>
      </c>
      <c r="L10">
        <f t="shared" si="1"/>
        <v>0</v>
      </c>
      <c r="M10">
        <f t="shared" si="2"/>
        <v>1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0.85359058496876383</v>
      </c>
      <c r="H11">
        <v>0.90577507598784179</v>
      </c>
      <c r="I11">
        <v>0.43965078859913104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-2.8919196904215738E-3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0.71461428665302273</v>
      </c>
      <c r="Q11">
        <f>(S8)/Q8*100</f>
        <v>-1.0891277310945264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0.85739729917334517</v>
      </c>
      <c r="H12">
        <v>0.90701219512195119</v>
      </c>
      <c r="I12">
        <v>0.45825681333639184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-1.6600995825767351E-3</v>
      </c>
      <c r="L12">
        <f t="shared" si="1"/>
        <v>0</v>
      </c>
      <c r="M12">
        <f t="shared" si="2"/>
        <v>0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0.85991039313434714</v>
      </c>
      <c r="H13">
        <v>0.91089108910891081</v>
      </c>
      <c r="I13">
        <v>0.45444440537569475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3.8788939869596195E-3</v>
      </c>
      <c r="L13">
        <f t="shared" si="1"/>
        <v>1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0.85570770492837755</v>
      </c>
      <c r="H14">
        <v>0.90701219512195119</v>
      </c>
      <c r="I14">
        <v>0.44505274295806885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3.8788939869596195E-3</v>
      </c>
      <c r="L14">
        <f t="shared" si="1"/>
        <v>0</v>
      </c>
      <c r="M14">
        <f t="shared" si="2"/>
        <v>0</v>
      </c>
      <c r="O14">
        <f>AVERAGEIF(F:F, 1, H:H)</f>
        <v>0.86421745200044542</v>
      </c>
      <c r="Q14">
        <f>AVERAGEIF(F:F, 0, H:H)</f>
        <v>0.87296777183417207</v>
      </c>
      <c r="S14">
        <f>O14-Q14</f>
        <v>-8.7503198337266497E-3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0.86054458257083355</v>
      </c>
      <c r="H15">
        <v>0.90867229470452793</v>
      </c>
      <c r="I15">
        <v>0.45702699617463716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-1.6600995825767351E-3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0.84741077141346977</v>
      </c>
      <c r="H16">
        <v>0.89490651192778858</v>
      </c>
      <c r="I16">
        <v>0.42942099181973203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-1.0288293267016524E-2</v>
      </c>
      <c r="L16">
        <f t="shared" si="1"/>
        <v>0</v>
      </c>
      <c r="M16">
        <f t="shared" si="2"/>
        <v>1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0.84816651366363438</v>
      </c>
      <c r="H17">
        <v>0.90519480519480511</v>
      </c>
      <c r="I17">
        <v>0.42610095775857265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-1.0288293267016524E-2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0.59145095165629291</v>
      </c>
      <c r="Q17">
        <f>(S14)/Q14*100</f>
        <v>-1.0023645907731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0.84893848350812762</v>
      </c>
      <c r="H18">
        <v>0.8987749838813669</v>
      </c>
      <c r="I18">
        <v>0.42985876968928743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-6.172932785299734E-3</v>
      </c>
      <c r="L18">
        <f t="shared" si="1"/>
        <v>0</v>
      </c>
      <c r="M18">
        <f t="shared" si="2"/>
        <v>1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0.85225123097894118</v>
      </c>
      <c r="H19">
        <v>0.90142671854734113</v>
      </c>
      <c r="I19">
        <v>0.43281055561133797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-3.0235432327636591E-3</v>
      </c>
      <c r="L19">
        <f t="shared" si="1"/>
        <v>0</v>
      </c>
      <c r="M19">
        <f t="shared" si="2"/>
        <v>1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0.84810855796960327</v>
      </c>
      <c r="H20">
        <v>0.90445026178010479</v>
      </c>
      <c r="I20">
        <v>0.44034463684169611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-3.0235432327636591E-3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0.84958179171187198</v>
      </c>
      <c r="H21">
        <v>0.90494791666666663</v>
      </c>
      <c r="I21">
        <v>0.43117815256118774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-6.172932785299734E-3</v>
      </c>
      <c r="L21">
        <f t="shared" si="1"/>
        <v>0</v>
      </c>
      <c r="M21">
        <f t="shared" si="2"/>
        <v>0</v>
      </c>
      <c r="O21">
        <f>O8</f>
        <v>0.80550158038688213</v>
      </c>
      <c r="P21">
        <f>Q8</f>
        <v>0.81437112211182772</v>
      </c>
      <c r="Q21">
        <f>S8</f>
        <v>-8.8695417249455843E-3</v>
      </c>
      <c r="R21">
        <f>O11</f>
        <v>0.71461428665302273</v>
      </c>
      <c r="S21">
        <f>Q11</f>
        <v>-1.0891277310945264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0.86186186659935637</v>
      </c>
      <c r="H22">
        <v>0.91257668711656437</v>
      </c>
      <c r="I22">
        <v>0.45223449292231577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-1.3387949905585561E-4</v>
      </c>
      <c r="L22">
        <f t="shared" si="1"/>
        <v>0</v>
      </c>
      <c r="M22">
        <f t="shared" si="2"/>
        <v>0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0.85944816053511708</v>
      </c>
      <c r="H23">
        <v>0.91271056661562022</v>
      </c>
      <c r="I23">
        <v>0.45090364984103609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-1.3387949905585561E-4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0.86048621190130614</v>
      </c>
      <c r="H24">
        <v>0.91160645657186778</v>
      </c>
      <c r="I24">
        <v>0.46304269864851116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5.1647387804567568E-3</v>
      </c>
      <c r="L24">
        <f t="shared" si="1"/>
        <v>1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0.85349277465766393</v>
      </c>
      <c r="H25">
        <v>0.90362374710871241</v>
      </c>
      <c r="I25">
        <v>0.46472751546879204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-3.6559463778776946E-3</v>
      </c>
      <c r="L25">
        <f t="shared" si="1"/>
        <v>0</v>
      </c>
      <c r="M25">
        <f t="shared" si="2"/>
        <v>1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0.85442039502745004</v>
      </c>
      <c r="H26">
        <v>0.9072796934865901</v>
      </c>
      <c r="I26">
        <v>0.45185108057090212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-3.6559463778776946E-3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0.85473591216003031</v>
      </c>
      <c r="H27">
        <v>0.90644171779141103</v>
      </c>
      <c r="I27">
        <v>0.45541423802473108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5.1647387804567568E-3</v>
      </c>
      <c r="L27">
        <f t="shared" si="1"/>
        <v>0</v>
      </c>
      <c r="M27">
        <f t="shared" si="2"/>
        <v>0</v>
      </c>
      <c r="O27">
        <f>O14</f>
        <v>0.86421745200044542</v>
      </c>
      <c r="P27">
        <f>Q14</f>
        <v>0.87296777183417207</v>
      </c>
      <c r="Q27">
        <f>S14</f>
        <v>-8.7503198337266497E-3</v>
      </c>
      <c r="R27">
        <f>O17</f>
        <v>0.59145095165629291</v>
      </c>
      <c r="S27">
        <f>Q17</f>
        <v>-1.0023645907731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0.76307011109645939</v>
      </c>
      <c r="H28">
        <v>0.79379598329687817</v>
      </c>
      <c r="I28">
        <v>0.31407884706039818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-2.0971680611460486E-2</v>
      </c>
      <c r="L28">
        <f t="shared" si="1"/>
        <v>0</v>
      </c>
      <c r="M28">
        <f t="shared" si="2"/>
        <v>1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0.78064385775862077</v>
      </c>
      <c r="H29">
        <v>0.81476766390833866</v>
      </c>
      <c r="I29">
        <v>0.33266848569013635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-2.0971680611460486E-2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0.75769737546976978</v>
      </c>
      <c r="H30">
        <v>0.79365759588600815</v>
      </c>
      <c r="I30">
        <v>0.39956305343277598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-1.7444640535717038E-2</v>
      </c>
      <c r="L30">
        <f t="shared" si="1"/>
        <v>0</v>
      </c>
      <c r="M30">
        <f t="shared" si="2"/>
        <v>1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0.78691144837476101</v>
      </c>
      <c r="H31">
        <v>0.81110223642172519</v>
      </c>
      <c r="I31">
        <v>0.31494708572115215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-1.7444640535717038E-2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0.81374393604717188</v>
      </c>
      <c r="H32">
        <v>0.84712396185788996</v>
      </c>
      <c r="I32">
        <v>0.3683464527130127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-1.7243854234064049E-2</v>
      </c>
      <c r="L32">
        <f t="shared" si="1"/>
        <v>0</v>
      </c>
      <c r="M32">
        <f t="shared" si="2"/>
        <v>1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0.83497385517901546</v>
      </c>
      <c r="H33">
        <v>0.86436781609195401</v>
      </c>
      <c r="I33">
        <v>0.37838875030984687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-1.7243854234064049E-2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0.82898485321496984</v>
      </c>
      <c r="H34">
        <v>0.86382623224728472</v>
      </c>
      <c r="I34">
        <v>0.44550063658733757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-6.5999408048029728E-3</v>
      </c>
      <c r="L34">
        <f t="shared" si="1"/>
        <v>0</v>
      </c>
      <c r="M34">
        <f t="shared" si="2"/>
        <v>1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0.82502377471359578</v>
      </c>
      <c r="H35">
        <v>0.87042617305208769</v>
      </c>
      <c r="I35">
        <v>0.39110202661582405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-6.5999408048029728E-3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0.80163285660267325</v>
      </c>
      <c r="H36">
        <v>0.84938271604938265</v>
      </c>
      <c r="I36">
        <v>0.43834544931139263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-3.6270388875670911E-2</v>
      </c>
      <c r="L36">
        <f t="shared" si="1"/>
        <v>0</v>
      </c>
      <c r="M36">
        <f t="shared" si="2"/>
        <v>1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0.83539604087911312</v>
      </c>
      <c r="H37">
        <v>0.88565310492505356</v>
      </c>
      <c r="I37">
        <v>0.3923538424530808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-3.6270388875670911E-2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0.82676385628302851</v>
      </c>
      <c r="H38">
        <v>0.8811410459587955</v>
      </c>
      <c r="I38">
        <v>0.47731801198453316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-1.4076578974036358E-2</v>
      </c>
      <c r="L38">
        <f t="shared" si="1"/>
        <v>0</v>
      </c>
      <c r="M38">
        <f t="shared" si="2"/>
        <v>1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0.84920393395743365</v>
      </c>
      <c r="H39">
        <v>0.89521762493283186</v>
      </c>
      <c r="I39">
        <v>0.40687051111338091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-1.4076578974036358E-2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0.49819677583799826</v>
      </c>
      <c r="H40">
        <v>0.69238729974748514</v>
      </c>
      <c r="I40">
        <v>2.6978401467204094E-2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0</v>
      </c>
      <c r="L40">
        <f t="shared" si="1"/>
        <v>0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0.51024972113389888</v>
      </c>
      <c r="H41">
        <v>0.69238729974748514</v>
      </c>
      <c r="I41">
        <v>1.3482784852385521E-2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0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0.43627273973634362</v>
      </c>
      <c r="H42">
        <v>0.69247009148486982</v>
      </c>
      <c r="I42">
        <v>1.6838783398270607E-2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8.279173738467982E-5</v>
      </c>
      <c r="L42">
        <f t="shared" si="1"/>
        <v>0</v>
      </c>
      <c r="M42">
        <f t="shared" si="2"/>
        <v>0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0.45810486588358879</v>
      </c>
      <c r="H43">
        <v>0.69238729974748514</v>
      </c>
      <c r="I43">
        <v>2.0284537225961685E-2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8.279173738467982E-5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0.85374532877106102</v>
      </c>
      <c r="H44">
        <v>0.90531776913099882</v>
      </c>
      <c r="I44">
        <v>0.42157608635571542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-3.5363975356679234E-3</v>
      </c>
      <c r="L44">
        <f t="shared" si="1"/>
        <v>0</v>
      </c>
      <c r="M44">
        <f t="shared" si="2"/>
        <v>1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0.85752867647740649</v>
      </c>
      <c r="H45">
        <v>0.90885416666666674</v>
      </c>
      <c r="I45">
        <v>0.43084964946824678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-3.5363975356679234E-3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0.8551177196057157</v>
      </c>
      <c r="H46">
        <v>0.90657894736842104</v>
      </c>
      <c r="I46">
        <v>0.46538884116678825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6.3198800109081077E-3</v>
      </c>
      <c r="L46">
        <f t="shared" si="1"/>
        <v>1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0.85448832076853887</v>
      </c>
      <c r="H47">
        <v>0.90318388564002594</v>
      </c>
      <c r="I47">
        <v>0.43326199784570807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2.5302908687840908E-3</v>
      </c>
      <c r="L47">
        <f t="shared" si="1"/>
        <v>1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0.84926303539470149</v>
      </c>
      <c r="H48">
        <v>0.90065359477124185</v>
      </c>
      <c r="I48">
        <v>0.43622954037724709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2.5302908687840908E-3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0.84985186524605671</v>
      </c>
      <c r="H49">
        <v>0.90025906735751293</v>
      </c>
      <c r="I49">
        <v>0.42636348459185386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6.3198800109081077E-3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0.86340947813466273</v>
      </c>
      <c r="H50">
        <v>0.91228070175438591</v>
      </c>
      <c r="I50">
        <v>0.44563696883162673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9.1036972158079488E-3</v>
      </c>
      <c r="L50">
        <f t="shared" si="1"/>
        <v>1</v>
      </c>
      <c r="M50">
        <f t="shared" si="2"/>
        <v>0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0.85403861929702796</v>
      </c>
      <c r="H51">
        <v>0.90317700453857797</v>
      </c>
      <c r="I51">
        <v>0.43548905849456787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9.1036972158079488E-3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0.85034549126017545</v>
      </c>
      <c r="H52">
        <v>0.90303030303030307</v>
      </c>
      <c r="I52">
        <v>0.44450185828062949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-5.6419916742248555E-3</v>
      </c>
      <c r="L52">
        <f t="shared" si="1"/>
        <v>0</v>
      </c>
      <c r="M52">
        <f t="shared" si="2"/>
        <v>1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0.8570723165267875</v>
      </c>
      <c r="H53">
        <v>0.90519877675840976</v>
      </c>
      <c r="I53">
        <v>0.45251885482243132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-5.7075212446624501E-3</v>
      </c>
      <c r="L53">
        <f t="shared" si="1"/>
        <v>0</v>
      </c>
      <c r="M53">
        <f t="shared" si="2"/>
        <v>1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0.85821764371805387</v>
      </c>
      <c r="H54">
        <v>0.91090629800307221</v>
      </c>
      <c r="I54">
        <v>0.45335663642202106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-5.7075212446624501E-3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0.86192181485454666</v>
      </c>
      <c r="H55">
        <v>0.90867229470452793</v>
      </c>
      <c r="I55">
        <v>0.45594998281829213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-5.6419916742248555E-3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0.82042314477437228</v>
      </c>
      <c r="H56">
        <v>0.87316652286453833</v>
      </c>
      <c r="I56">
        <v>0.58194481839939038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-3.735979292493552E-2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0.87194574052396412</v>
      </c>
      <c r="H57">
        <v>0.91052631578947385</v>
      </c>
      <c r="I57">
        <v>0.47789694520891929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-3.735979292493552E-2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0.82401323924620373</v>
      </c>
      <c r="H58">
        <v>0.87235841081994925</v>
      </c>
      <c r="I58">
        <v>0.58294279234749924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-3.131934749878984E-2</v>
      </c>
      <c r="L58">
        <f t="shared" si="1"/>
        <v>0</v>
      </c>
      <c r="M58">
        <f t="shared" si="2"/>
        <v>1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0.86070351013140334</v>
      </c>
      <c r="H59">
        <v>0.90367775831873909</v>
      </c>
      <c r="I59">
        <v>0.49587062609438992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-3.131934749878984E-2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0.7192245231068537</v>
      </c>
      <c r="H60">
        <v>0.78565980167810834</v>
      </c>
      <c r="I60">
        <v>0.5561104447257762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-0.11711797609966956</v>
      </c>
      <c r="L60">
        <f t="shared" si="1"/>
        <v>0</v>
      </c>
      <c r="M60">
        <f t="shared" si="2"/>
        <v>1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0.85113267274495896</v>
      </c>
      <c r="H61">
        <v>0.88408304498269885</v>
      </c>
      <c r="I61">
        <v>0.54451456848455937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-1.9979184922227722E-2</v>
      </c>
      <c r="L61">
        <f t="shared" si="1"/>
        <v>0</v>
      </c>
      <c r="M61">
        <f t="shared" si="2"/>
        <v>1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0.85907333520188611</v>
      </c>
      <c r="H62">
        <v>0.90406222990492657</v>
      </c>
      <c r="I62">
        <v>0.49236949609250436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-1.9979184922227722E-2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0.85371086343626867</v>
      </c>
      <c r="H63">
        <v>0.9027777777777779</v>
      </c>
      <c r="I63">
        <v>0.49898486477988108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-0.11711797609966956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0.85425494204738428</v>
      </c>
      <c r="H64">
        <v>0.89325362937660113</v>
      </c>
      <c r="I64">
        <v>0.54502347050880895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-1.5678069397479288E-2</v>
      </c>
      <c r="L64">
        <f t="shared" si="1"/>
        <v>0</v>
      </c>
      <c r="M64">
        <f t="shared" si="2"/>
        <v>1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0.85931652185382412</v>
      </c>
      <c r="H65">
        <v>0.90893169877408042</v>
      </c>
      <c r="I65">
        <v>0.49677220899231578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-1.5678069397479288E-2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0.64735841551274365</v>
      </c>
      <c r="H66">
        <v>0.7168674698795181</v>
      </c>
      <c r="I66">
        <v>0.1903331751117901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-1.2750976455919716E-2</v>
      </c>
      <c r="L66">
        <f t="shared" si="1"/>
        <v>0</v>
      </c>
      <c r="M66">
        <f t="shared" si="2"/>
        <v>1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0.66879335458701761</v>
      </c>
      <c r="H67">
        <v>0.72961844633543782</v>
      </c>
      <c r="I67">
        <v>0.19704241047100146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-1.2750976455919716E-2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0.66056768963699453</v>
      </c>
      <c r="H68">
        <v>0.72104372074494572</v>
      </c>
      <c r="I68">
        <v>0.26644298190973242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3.2064960545212795E-3</v>
      </c>
      <c r="L68">
        <f t="shared" si="4"/>
        <v>1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0.64848356701443677</v>
      </c>
      <c r="H69">
        <v>0.71783722469042444</v>
      </c>
      <c r="I69">
        <v>0.2099488836770155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3.2064960545212795E-3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6</v>
      </c>
      <c r="M70">
        <f>SUM(M2:M69)</f>
        <v>22</v>
      </c>
      <c r="N70">
        <f>68-L70-M70</f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080-3B27-40C5-84BB-0653ADCF7FBA}">
  <dimension ref="A1:Y70"/>
  <sheetViews>
    <sheetView topLeftCell="A28" workbookViewId="0">
      <selection activeCell="Q33" sqref="Q33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0.99882667352527932</v>
      </c>
      <c r="H2">
        <v>0.99494949494949492</v>
      </c>
      <c r="I2">
        <v>0.84762158564158852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-1.0101010101010166E-3</v>
      </c>
      <c r="L2">
        <f>IF(AND(F2=1, K2 &gt; $N$2), 1, 0)</f>
        <v>0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0.9988275650260674</v>
      </c>
      <c r="H3">
        <v>0.99494949494949492</v>
      </c>
      <c r="I3">
        <v>0.84790625407987719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-1.0101010101010166E-3</v>
      </c>
      <c r="L3">
        <f t="shared" ref="L3:L66" si="1">IF(AND(F3=1, K3 &gt; $N$2), 1, 0)</f>
        <v>0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5.0000000000000001E-4</v>
      </c>
      <c r="R3" s="3">
        <v>1000</v>
      </c>
      <c r="S3" s="3">
        <v>128</v>
      </c>
      <c r="T3" s="3">
        <v>0</v>
      </c>
      <c r="U3" s="3">
        <v>0.99966169192508592</v>
      </c>
      <c r="V3" s="3">
        <v>0.99088761390482616</v>
      </c>
      <c r="W3" s="3">
        <v>0.82213952422750236</v>
      </c>
      <c r="X3" s="3" t="str">
        <v>1_512_0.0005_1000_128</v>
      </c>
      <c r="Y3" s="3">
        <v>-1.1502686564508591E-2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0.99882656208768095</v>
      </c>
      <c r="H4">
        <v>0.99494949494949492</v>
      </c>
      <c r="I4">
        <v>0.8474888807656813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-1.0101010101010166E-3</v>
      </c>
      <c r="L4">
        <f t="shared" si="1"/>
        <v>0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0.9989797887856332</v>
      </c>
      <c r="H5">
        <v>0.99595959595959593</v>
      </c>
      <c r="I5">
        <v>0.84067788537667731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-1.0101010101010166E-3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2E-3</v>
      </c>
      <c r="R5" s="3">
        <v>1000</v>
      </c>
      <c r="S5" s="3">
        <v>224</v>
      </c>
      <c r="T5" s="3">
        <v>0</v>
      </c>
      <c r="U5" s="3">
        <v>0.99917370920511595</v>
      </c>
      <c r="V5" s="3">
        <v>0.99882214369846889</v>
      </c>
      <c r="W5" s="3">
        <v>0.78901705632404395</v>
      </c>
      <c r="X5" s="3" t="str">
        <v>1_512_0.002_1000_224</v>
      </c>
      <c r="Y5" s="3">
        <v>-5.8996927301224744E-4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0.99911317959105084</v>
      </c>
      <c r="H6">
        <v>0.99443601416287297</v>
      </c>
      <c r="I6">
        <v>0.89491317405992621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-5.0325709218779213E-4</v>
      </c>
      <c r="L6">
        <f t="shared" si="1"/>
        <v>0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0.99894947775883824</v>
      </c>
      <c r="H7">
        <v>0.99494438827098075</v>
      </c>
      <c r="I7">
        <v>0.91041621991566246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-2.0222446916077219E-3</v>
      </c>
      <c r="L7">
        <f t="shared" si="1"/>
        <v>0</v>
      </c>
      <c r="M7">
        <f t="shared" si="2"/>
        <v>1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0.99865996287790715</v>
      </c>
      <c r="H8">
        <v>0.99696663296258847</v>
      </c>
      <c r="I8">
        <v>0.83641596108066796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-2.0222446916077219E-3</v>
      </c>
      <c r="L8">
        <f t="shared" si="1"/>
        <v>0</v>
      </c>
      <c r="M8">
        <f t="shared" si="2"/>
        <v>0</v>
      </c>
      <c r="O8">
        <f>AVERAGEIF(F:F, 1, G:G)</f>
        <v>0.97779924086130876</v>
      </c>
      <c r="Q8">
        <f>AVERAGEIF(F:F, 0, G:G)</f>
        <v>0.97712208231927566</v>
      </c>
      <c r="S8">
        <f>O8-Q8</f>
        <v>6.7715854203309611E-4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0.99899215835906807</v>
      </c>
      <c r="H9">
        <v>0.99493927125506076</v>
      </c>
      <c r="I9">
        <v>0.83574468475215291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-5.0325709218779213E-4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0.99930859214978218</v>
      </c>
      <c r="H10">
        <v>0.99705014749262533</v>
      </c>
      <c r="I10">
        <v>0.87397628019050677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0</v>
      </c>
      <c r="L10">
        <f t="shared" si="1"/>
        <v>0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0.99935244048612482</v>
      </c>
      <c r="H11">
        <v>0.99705014749262533</v>
      </c>
      <c r="I11">
        <v>0.84357336771731473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0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0.97296619040307408</v>
      </c>
      <c r="Q11">
        <f>(S8)/Q8*100</f>
        <v>6.9301324193370734E-2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0.99921922650927797</v>
      </c>
      <c r="H12">
        <v>0.99823217442545664</v>
      </c>
      <c r="I12">
        <v>0.82159160837835199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5.8788702851908514E-4</v>
      </c>
      <c r="L12">
        <f t="shared" si="1"/>
        <v>0</v>
      </c>
      <c r="M12">
        <f t="shared" si="2"/>
        <v>0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0.99934667496093099</v>
      </c>
      <c r="H13">
        <v>0.99823217442545664</v>
      </c>
      <c r="I13">
        <v>0.8189462319928773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0</v>
      </c>
      <c r="L13">
        <f t="shared" si="1"/>
        <v>0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0.9994832268734164</v>
      </c>
      <c r="H14">
        <v>0.99823217442545664</v>
      </c>
      <c r="I14">
        <v>0.80502422123539208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0</v>
      </c>
      <c r="L14">
        <f t="shared" si="1"/>
        <v>0</v>
      </c>
      <c r="M14">
        <f t="shared" si="2"/>
        <v>0</v>
      </c>
      <c r="O14">
        <f>AVERAGEIF(F:F, 1, H:H)</f>
        <v>0.94583644718549154</v>
      </c>
      <c r="Q14">
        <f>AVERAGEIF(F:F, 0, H:H)</f>
        <v>0.94479022261718804</v>
      </c>
      <c r="S14">
        <f>O14-Q14</f>
        <v>1.0462245683034999E-3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0.99948580618731897</v>
      </c>
      <c r="H15">
        <v>0.99764428739693756</v>
      </c>
      <c r="I15">
        <v>0.7924829070665399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5.8788702851908514E-4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0.99920210679466237</v>
      </c>
      <c r="H16">
        <v>0.99645928174001008</v>
      </c>
      <c r="I16">
        <v>0.89451035431453163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0</v>
      </c>
      <c r="L16">
        <f t="shared" si="1"/>
        <v>0</v>
      </c>
      <c r="M16">
        <f t="shared" si="2"/>
        <v>0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0.9989648561474328</v>
      </c>
      <c r="H17">
        <v>0.99645928174001008</v>
      </c>
      <c r="I17">
        <v>0.85943136044910973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0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0.97735324238378785</v>
      </c>
      <c r="Q17">
        <f>(S14)/Q14*100</f>
        <v>0.11073617648215345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0.99921603649447621</v>
      </c>
      <c r="H18">
        <v>0.99646286003031836</v>
      </c>
      <c r="I18">
        <v>0.85355815717152195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5.1144302626981997E-4</v>
      </c>
      <c r="L18">
        <f t="shared" si="1"/>
        <v>0</v>
      </c>
      <c r="M18">
        <f t="shared" si="2"/>
        <v>0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0.99883413984437963</v>
      </c>
      <c r="H19">
        <v>0.99546142208774591</v>
      </c>
      <c r="I19">
        <v>0.86128008943431233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-1.005009007660429E-3</v>
      </c>
      <c r="L19">
        <f t="shared" si="1"/>
        <v>0</v>
      </c>
      <c r="M19">
        <f t="shared" si="2"/>
        <v>0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0.99915017687375629</v>
      </c>
      <c r="H20">
        <v>0.99646643109540634</v>
      </c>
      <c r="I20">
        <v>0.82784414747539836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-1.005009007660429E-3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0.99853949883391691</v>
      </c>
      <c r="H21">
        <v>0.99595141700404854</v>
      </c>
      <c r="I21">
        <v>0.86550825165242573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5.1144302626981997E-4</v>
      </c>
      <c r="L21">
        <f t="shared" si="1"/>
        <v>0</v>
      </c>
      <c r="M21">
        <f t="shared" si="2"/>
        <v>0</v>
      </c>
      <c r="O21">
        <f>O8</f>
        <v>0.97779924086130876</v>
      </c>
      <c r="P21">
        <f>Q8</f>
        <v>0.97712208231927566</v>
      </c>
      <c r="Q21">
        <f>S8</f>
        <v>6.7715854203309611E-4</v>
      </c>
      <c r="R21">
        <f>O11</f>
        <v>0.97296619040307408</v>
      </c>
      <c r="S21">
        <f>Q11</f>
        <v>6.9301324193370734E-2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0.99916506091732538</v>
      </c>
      <c r="H22">
        <v>0.99823217442545664</v>
      </c>
      <c r="I22">
        <v>0.8175523548710103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0</v>
      </c>
      <c r="L22">
        <f t="shared" si="1"/>
        <v>0</v>
      </c>
      <c r="M22">
        <f t="shared" si="2"/>
        <v>0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0.99936548877998466</v>
      </c>
      <c r="H23">
        <v>0.99823217442545664</v>
      </c>
      <c r="I23">
        <v>0.82026834268959203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0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0.99951827519762104</v>
      </c>
      <c r="H24">
        <v>0.99764428739693756</v>
      </c>
      <c r="I24">
        <v>0.82929294085016059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-5.8788702851908514E-4</v>
      </c>
      <c r="L24">
        <f t="shared" si="1"/>
        <v>0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0.99938445432338519</v>
      </c>
      <c r="H25">
        <v>0.99764150943396235</v>
      </c>
      <c r="I25">
        <v>0.85271398510251728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-5.9066499149429408E-4</v>
      </c>
      <c r="L25">
        <f t="shared" si="1"/>
        <v>0</v>
      </c>
      <c r="M25">
        <f t="shared" si="2"/>
        <v>0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0.99945439924744717</v>
      </c>
      <c r="H26">
        <v>0.99823217442545664</v>
      </c>
      <c r="I26">
        <v>0.81984087338252942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-5.9066499149429408E-4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0.99935790256262425</v>
      </c>
      <c r="H27">
        <v>0.99823217442545664</v>
      </c>
      <c r="I27">
        <v>0.81162479671896715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-5.8788702851908514E-4</v>
      </c>
      <c r="L27">
        <f t="shared" si="1"/>
        <v>0</v>
      </c>
      <c r="M27">
        <f t="shared" si="2"/>
        <v>0</v>
      </c>
      <c r="O27">
        <f>O14</f>
        <v>0.94583644718549154</v>
      </c>
      <c r="P27">
        <f>Q14</f>
        <v>0.94479022261718804</v>
      </c>
      <c r="Q27">
        <f>S14</f>
        <v>1.0462245683034999E-3</v>
      </c>
      <c r="R27">
        <f>O17</f>
        <v>0.97735324238378785</v>
      </c>
      <c r="S27">
        <f>Q17</f>
        <v>0.11073617648215345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0.99662170435420583</v>
      </c>
      <c r="H28">
        <v>0.93886966551326412</v>
      </c>
      <c r="I28">
        <v>0.63757200630343691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1.3083709725645321E-3</v>
      </c>
      <c r="L28">
        <f t="shared" si="1"/>
        <v>0</v>
      </c>
      <c r="M28">
        <f t="shared" si="2"/>
        <v>0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0.99659073389697328</v>
      </c>
      <c r="H29">
        <v>0.93756129454069959</v>
      </c>
      <c r="I29">
        <v>0.61312009302937254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1.3083709725645321E-3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0.99627956693411057</v>
      </c>
      <c r="H30">
        <v>0.93710178075477857</v>
      </c>
      <c r="I30">
        <v>0.73088770679065151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-3.2410010514177801E-3</v>
      </c>
      <c r="L30">
        <f t="shared" si="1"/>
        <v>0</v>
      </c>
      <c r="M30">
        <f t="shared" si="2"/>
        <v>1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0.99670194993667116</v>
      </c>
      <c r="H31">
        <v>0.94034278180619635</v>
      </c>
      <c r="I31">
        <v>0.63325219282082146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-3.2410010514177801E-3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0.99881857482063952</v>
      </c>
      <c r="H32">
        <v>0.96684383700329035</v>
      </c>
      <c r="I32">
        <v>0.79357818255619128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5.7078130869973043E-3</v>
      </c>
      <c r="L32">
        <f t="shared" si="1"/>
        <v>1</v>
      </c>
      <c r="M32">
        <f t="shared" si="2"/>
        <v>0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0.99860265764630052</v>
      </c>
      <c r="H33">
        <v>0.96113602391629305</v>
      </c>
      <c r="I33">
        <v>0.74556676876180028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5.7078130869973043E-3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0.99938153674757435</v>
      </c>
      <c r="H34">
        <v>0.97938492734031757</v>
      </c>
      <c r="I34">
        <v>0.93611470412234865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-1.1502686564508591E-2</v>
      </c>
      <c r="L34">
        <f t="shared" si="1"/>
        <v>0</v>
      </c>
      <c r="M34">
        <f t="shared" si="2"/>
        <v>1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0.99966169192508592</v>
      </c>
      <c r="H35">
        <v>0.99088761390482616</v>
      </c>
      <c r="I35">
        <v>0.82213952422750236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-1.1502686564508591E-2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0.9992861521144949</v>
      </c>
      <c r="H36">
        <v>0.97487437185929648</v>
      </c>
      <c r="I36">
        <v>0.89973820289786977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-1.2279110223191725E-2</v>
      </c>
      <c r="L36">
        <f t="shared" si="1"/>
        <v>0</v>
      </c>
      <c r="M36">
        <f t="shared" si="2"/>
        <v>1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0.99949695017055218</v>
      </c>
      <c r="H37">
        <v>0.98715348208248821</v>
      </c>
      <c r="I37">
        <v>0.82418276156697956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-1.2279110223191725E-2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0.9995608110881955</v>
      </c>
      <c r="H38">
        <v>0.98816568047337272</v>
      </c>
      <c r="I38">
        <v>0.95618450459168891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-5.1229101306541347E-3</v>
      </c>
      <c r="L38">
        <f t="shared" si="1"/>
        <v>0</v>
      </c>
      <c r="M38">
        <f t="shared" si="2"/>
        <v>1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0.99944927104710224</v>
      </c>
      <c r="H39">
        <v>0.99328859060402686</v>
      </c>
      <c r="I39">
        <v>0.78794407570848668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-5.1229101306541347E-3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0.65050450971990159</v>
      </c>
      <c r="H40">
        <v>0.37439742903053025</v>
      </c>
      <c r="I40">
        <v>0.13286061562141593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7.3868434751235834E-3</v>
      </c>
      <c r="L40">
        <f t="shared" si="1"/>
        <v>1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0.65593772702212128</v>
      </c>
      <c r="H41">
        <v>0.36701058555540667</v>
      </c>
      <c r="I41">
        <v>0.12085032189378933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7.3868434751235834E-3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0.64917598626599005</v>
      </c>
      <c r="H42">
        <v>0.36407442109490029</v>
      </c>
      <c r="I42">
        <v>9.3325418667221549E-2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-3.3414743068919672E-3</v>
      </c>
      <c r="L42">
        <f t="shared" si="1"/>
        <v>0</v>
      </c>
      <c r="M42">
        <f t="shared" si="2"/>
        <v>1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0.6639192160342906</v>
      </c>
      <c r="H43">
        <v>0.36741589540179226</v>
      </c>
      <c r="I43">
        <v>0.14460215118846723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-3.3414743068919672E-3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0.99899784167659211</v>
      </c>
      <c r="H44">
        <v>0.99545224861040937</v>
      </c>
      <c r="I44">
        <v>0.84129372421576054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-1.0070331296007096E-3</v>
      </c>
      <c r="L44">
        <f t="shared" si="1"/>
        <v>0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0.99897432834330624</v>
      </c>
      <c r="H45">
        <v>0.99645928174001008</v>
      </c>
      <c r="I45">
        <v>0.8766741071428571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-1.0070331296007096E-3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0.99894736044446653</v>
      </c>
      <c r="H46">
        <v>0.99595959595959593</v>
      </c>
      <c r="I46">
        <v>0.87051354135785786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8.1789555473887887E-6</v>
      </c>
      <c r="L46">
        <f t="shared" si="1"/>
        <v>0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0.99891348341451924</v>
      </c>
      <c r="H47">
        <v>0.99595141700404854</v>
      </c>
      <c r="I47">
        <v>0.88169275011335102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4.9457702424038352E-4</v>
      </c>
      <c r="L47">
        <f t="shared" si="1"/>
        <v>0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0.99892172979680904</v>
      </c>
      <c r="H48">
        <v>0.99545683997980816</v>
      </c>
      <c r="I48">
        <v>0.83554405034804824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4.9457702424038352E-4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0.99880438600557719</v>
      </c>
      <c r="H49">
        <v>0.99595141700404854</v>
      </c>
      <c r="I49">
        <v>0.84999090433120728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8.1789555473887887E-6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0.99926489553778697</v>
      </c>
      <c r="H50">
        <v>0.99823217442545664</v>
      </c>
      <c r="I50">
        <v>0.82302687119464479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5.8788702851908514E-4</v>
      </c>
      <c r="L50">
        <f t="shared" si="1"/>
        <v>0</v>
      </c>
      <c r="M50">
        <f t="shared" si="2"/>
        <v>0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0.99945864752916902</v>
      </c>
      <c r="H51">
        <v>0.99764428739693756</v>
      </c>
      <c r="I51">
        <v>0.81158369657944662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5.8788702851908514E-4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0.99947730962387527</v>
      </c>
      <c r="H52">
        <v>0.99823217442545664</v>
      </c>
      <c r="I52">
        <v>0.82164138221010863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-5.8996927301224744E-4</v>
      </c>
      <c r="L52">
        <f t="shared" si="1"/>
        <v>0</v>
      </c>
      <c r="M52">
        <f t="shared" si="2"/>
        <v>0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0.9991934333702529</v>
      </c>
      <c r="H53">
        <v>0.99823217442545664</v>
      </c>
      <c r="I53">
        <v>0.80711961583215364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0</v>
      </c>
      <c r="L53">
        <f t="shared" si="1"/>
        <v>0</v>
      </c>
      <c r="M53">
        <f t="shared" si="2"/>
        <v>0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0.99934151633312596</v>
      </c>
      <c r="H54">
        <v>0.99823217442545664</v>
      </c>
      <c r="I54">
        <v>0.81017252437922416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0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0.99917370920511595</v>
      </c>
      <c r="H55">
        <v>0.99882214369846889</v>
      </c>
      <c r="I55">
        <v>0.78901705632404395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-5.8996927301224744E-4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0.99911378290474739</v>
      </c>
      <c r="H56">
        <v>0.98517520215633425</v>
      </c>
      <c r="I56">
        <v>1.0353341875027637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-1.3478902823477301E-2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0.9994147361280179</v>
      </c>
      <c r="H57">
        <v>0.99865410497981155</v>
      </c>
      <c r="I57">
        <v>0.81656860027994438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-1.3478902823477301E-2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0.99928417116808688</v>
      </c>
      <c r="H58">
        <v>0.98668442077230356</v>
      </c>
      <c r="I58">
        <v>0.97899466388079581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-1.1969684207507991E-2</v>
      </c>
      <c r="L58">
        <f t="shared" si="1"/>
        <v>0</v>
      </c>
      <c r="M58">
        <f t="shared" si="2"/>
        <v>1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0.99833673317356453</v>
      </c>
      <c r="H59">
        <v>0.99865410497981155</v>
      </c>
      <c r="I59">
        <v>0.79297175456066527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-1.1969684207507991E-2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0.99920848707902221</v>
      </c>
      <c r="H60">
        <v>0.98858294157152449</v>
      </c>
      <c r="I60">
        <v>1.0410912882308572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-1.0071163408287065E-2</v>
      </c>
      <c r="L60">
        <f t="shared" si="1"/>
        <v>0</v>
      </c>
      <c r="M60">
        <f t="shared" si="2"/>
        <v>1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0.999420679904646</v>
      </c>
      <c r="H61">
        <v>0.9973082099596231</v>
      </c>
      <c r="I61">
        <v>0.93624764315936027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-1.3458950201884479E-3</v>
      </c>
      <c r="L61">
        <f t="shared" si="1"/>
        <v>0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0.99918847636437402</v>
      </c>
      <c r="H62">
        <v>0.99865410497981155</v>
      </c>
      <c r="I62">
        <v>0.8321782812780264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-1.3458950201884479E-3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0.9992144308556502</v>
      </c>
      <c r="H63">
        <v>0.99865410497981155</v>
      </c>
      <c r="I63">
        <v>0.82966164970884526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-1.0071163408287065E-2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0.99941830239399476</v>
      </c>
      <c r="H64">
        <v>0.9973082099596231</v>
      </c>
      <c r="I64">
        <v>0.94227325977111354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-6.7158802017486252E-4</v>
      </c>
      <c r="L64">
        <f t="shared" si="1"/>
        <v>0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0.99927981239855945</v>
      </c>
      <c r="H65">
        <v>0.99797979797979797</v>
      </c>
      <c r="I65">
        <v>0.91976309370021425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-6.7158802017486252E-4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0.97201583114280721</v>
      </c>
      <c r="H66">
        <v>0.82836315440689201</v>
      </c>
      <c r="I66">
        <v>0.3882984071969986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-1.6231440187702506E-2</v>
      </c>
      <c r="L66">
        <f t="shared" si="1"/>
        <v>0</v>
      </c>
      <c r="M66">
        <f t="shared" si="2"/>
        <v>1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0.97575385969300177</v>
      </c>
      <c r="H67">
        <v>0.84459459459459452</v>
      </c>
      <c r="I67">
        <v>0.40142856735964211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-1.6231440187702506E-2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0.98235098425915257</v>
      </c>
      <c r="H68">
        <v>0.86543669600541628</v>
      </c>
      <c r="I68">
        <v>0.56295488196976329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1.6278336796395343E-2</v>
      </c>
      <c r="L68">
        <f t="shared" si="4"/>
        <v>1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0.97902044701610769</v>
      </c>
      <c r="H69">
        <v>0.84915835920902094</v>
      </c>
      <c r="I69">
        <v>0.40314669694219318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1.6278336796395343E-2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3</v>
      </c>
      <c r="M70">
        <f>SUM(M2:M69)</f>
        <v>10</v>
      </c>
      <c r="N70">
        <f>68-L70-M70</f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6E5B-9414-40DB-A76F-8CCEB3CFE226}">
  <dimension ref="A1:Y70"/>
  <sheetViews>
    <sheetView workbookViewId="0">
      <selection activeCell="Q33" sqref="Q33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0.6959937637428959</v>
      </c>
      <c r="H2">
        <v>7.2558857583944411E-2</v>
      </c>
      <c r="I2">
        <v>0.3751821262495858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4.9128036037599243E-3</v>
      </c>
      <c r="L2">
        <f>IF(AND(F2=1, K2 &gt; $N$2), 1, 0)</f>
        <v>1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0.69816468047506863</v>
      </c>
      <c r="H3">
        <v>7.3105040400153906E-2</v>
      </c>
      <c r="I3">
        <v>0.37462274517331806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5.4589864199694194E-3</v>
      </c>
      <c r="L3">
        <f t="shared" ref="L3:L66" si="1">IF(AND(F3=1, K3 &gt; $N$2), 1, 0)</f>
        <v>1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2E-3</v>
      </c>
      <c r="R3" s="3">
        <v>1000</v>
      </c>
      <c r="S3" s="3">
        <v>256</v>
      </c>
      <c r="T3" s="3">
        <v>1</v>
      </c>
      <c r="U3" s="3">
        <v>0.90093119014789491</v>
      </c>
      <c r="V3" s="3">
        <v>0.21580928481806777</v>
      </c>
      <c r="W3" s="3">
        <v>0.54480590838558829</v>
      </c>
      <c r="X3" s="3" t="str">
        <v>1_512_0.002_1000_256</v>
      </c>
      <c r="Y3" s="3">
        <v>4.6099295559206332E-2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0.69927481510639344</v>
      </c>
      <c r="H4">
        <v>7.4016962220508867E-2</v>
      </c>
      <c r="I4">
        <v>0.37491680894579205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6.37090824032438E-3</v>
      </c>
      <c r="L4">
        <f t="shared" si="1"/>
        <v>1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0.68029846983371178</v>
      </c>
      <c r="H5">
        <v>6.7646053980184487E-2</v>
      </c>
      <c r="I5">
        <v>0.35427337824081889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4.9128036037599243E-3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2E-3</v>
      </c>
      <c r="R5" s="3">
        <v>1000</v>
      </c>
      <c r="S5" s="3">
        <v>256</v>
      </c>
      <c r="T5" s="3">
        <v>1</v>
      </c>
      <c r="U5" s="3">
        <v>0.90093119014789491</v>
      </c>
      <c r="V5" s="3">
        <v>0.21580928481806777</v>
      </c>
      <c r="W5" s="3">
        <v>0.54480590838558829</v>
      </c>
      <c r="X5" s="3" t="str">
        <v>1_512_0.002_1000_256</v>
      </c>
      <c r="Y5" s="3">
        <v>4.6099295559206332E-2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0.74381814960119597</v>
      </c>
      <c r="H6">
        <v>8.5924250989259474E-2</v>
      </c>
      <c r="I6">
        <v>0.43750950389978838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1.2973431317128317E-2</v>
      </c>
      <c r="L6">
        <f t="shared" si="1"/>
        <v>1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0.73326622182000245</v>
      </c>
      <c r="H7">
        <v>8.5054678007290399E-2</v>
      </c>
      <c r="I7">
        <v>0.4434603787198359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1.0475323755357716E-2</v>
      </c>
      <c r="L7">
        <f t="shared" si="1"/>
        <v>1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0.69357370592313616</v>
      </c>
      <c r="H8">
        <v>7.4579354251932684E-2</v>
      </c>
      <c r="I8">
        <v>0.38694176503590172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1.0475323755357716E-2</v>
      </c>
      <c r="L8">
        <f t="shared" si="1"/>
        <v>0</v>
      </c>
      <c r="M8">
        <f t="shared" si="2"/>
        <v>0</v>
      </c>
      <c r="O8">
        <f>AVERAGEIF(F:F, 1, G:G)</f>
        <v>0.68350909709283514</v>
      </c>
      <c r="Q8">
        <f>AVERAGEIF(F:F, 0, G:G)</f>
        <v>0.65728403192129059</v>
      </c>
      <c r="S8">
        <f>O8-Q8</f>
        <v>2.6225065171544548E-2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0.69336143058120636</v>
      </c>
      <c r="H9">
        <v>7.2950819672131156E-2</v>
      </c>
      <c r="I9">
        <v>0.37300756147929603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1.2973431317128317E-2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0.7812248135093699</v>
      </c>
      <c r="H10">
        <v>0.10614995787700085</v>
      </c>
      <c r="I10">
        <v>0.4859224259853363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2.1983729576106587E-2</v>
      </c>
      <c r="L10">
        <f t="shared" si="1"/>
        <v>1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0.73274851072934444</v>
      </c>
      <c r="H11">
        <v>8.4166228300894264E-2</v>
      </c>
      <c r="I11">
        <v>0.39564000222147727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2.1983729576106587E-2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0.47752617334466141</v>
      </c>
      <c r="Q11">
        <f>(S8)/Q8*100</f>
        <v>3.9899136291028876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0.75315590246664721</v>
      </c>
      <c r="H12">
        <v>9.1286307053941904E-2</v>
      </c>
      <c r="I12">
        <v>0.50592915987481879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4.9041932328036941E-3</v>
      </c>
      <c r="L12">
        <f t="shared" si="1"/>
        <v>1</v>
      </c>
      <c r="M12">
        <f t="shared" si="2"/>
        <v>0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0.77059279648269907</v>
      </c>
      <c r="H13">
        <v>9.5354523227383858E-2</v>
      </c>
      <c r="I13">
        <v>0.41726990135348574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1.2021189894050516E-2</v>
      </c>
      <c r="L13">
        <f t="shared" si="1"/>
        <v>1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0.74771763138801794</v>
      </c>
      <c r="H14">
        <v>8.3333333333333343E-2</v>
      </c>
      <c r="I14">
        <v>0.39174550163502597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1.2021189894050516E-2</v>
      </c>
      <c r="L14">
        <f t="shared" si="1"/>
        <v>0</v>
      </c>
      <c r="M14">
        <f t="shared" si="2"/>
        <v>0</v>
      </c>
      <c r="O14">
        <f>AVERAGEIF(F:F, 1, H:H)</f>
        <v>8.6892498974633622E-2</v>
      </c>
      <c r="Q14">
        <f>AVERAGEIF(F:F, 0, H:H)</f>
        <v>7.8125988288517662E-2</v>
      </c>
      <c r="S14">
        <f>O14-Q14</f>
        <v>8.7665106861159608E-3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0.75678356147635251</v>
      </c>
      <c r="H15">
        <v>8.6382113821138209E-2</v>
      </c>
      <c r="I15">
        <v>0.39055298603310873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4.9041932328036941E-3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0.73776384279018992</v>
      </c>
      <c r="H16">
        <v>8.3022884513038853E-2</v>
      </c>
      <c r="I16">
        <v>0.40826481307039453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1.4850399913449538E-2</v>
      </c>
      <c r="L16">
        <f t="shared" si="1"/>
        <v>1</v>
      </c>
      <c r="M16">
        <f t="shared" si="2"/>
        <v>0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0.66927799031739044</v>
      </c>
      <c r="H17">
        <v>6.8172484599589314E-2</v>
      </c>
      <c r="I17">
        <v>0.37218586036137169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1.4850399913449538E-2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0.37861893069880648</v>
      </c>
      <c r="Q17">
        <f>(S14)/Q14*100</f>
        <v>11.220991731639179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0.74580830525788777</v>
      </c>
      <c r="H18">
        <v>8.8222320247022507E-2</v>
      </c>
      <c r="I18">
        <v>0.38329914637974327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1.1984696484646257E-2</v>
      </c>
      <c r="L18">
        <f t="shared" si="1"/>
        <v>1</v>
      </c>
      <c r="M18">
        <f t="shared" si="2"/>
        <v>0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0.70066619970055499</v>
      </c>
      <c r="H19">
        <v>8.0117244748412308E-2</v>
      </c>
      <c r="I19">
        <v>0.39639875718525475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7.5783846447853576E-3</v>
      </c>
      <c r="L19">
        <f t="shared" si="1"/>
        <v>1</v>
      </c>
      <c r="M19">
        <f t="shared" si="2"/>
        <v>0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0.67958672309900592</v>
      </c>
      <c r="H20">
        <v>7.2538860103626951E-2</v>
      </c>
      <c r="I20">
        <v>0.3894575834274292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7.5783846447853576E-3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0.70090998930893378</v>
      </c>
      <c r="H21">
        <v>7.623762376237625E-2</v>
      </c>
      <c r="I21">
        <v>0.39699682045956047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1.1984696484646257E-2</v>
      </c>
      <c r="L21">
        <f t="shared" si="1"/>
        <v>0</v>
      </c>
      <c r="M21">
        <f t="shared" si="2"/>
        <v>0</v>
      </c>
      <c r="O21">
        <f>O8</f>
        <v>0.68350909709283514</v>
      </c>
      <c r="P21">
        <f>Q8</f>
        <v>0.65728403192129059</v>
      </c>
      <c r="Q21">
        <f>S8</f>
        <v>2.6225065171544548E-2</v>
      </c>
      <c r="R21">
        <f>O11</f>
        <v>0.47752617334466141</v>
      </c>
      <c r="S21">
        <f>Q11</f>
        <v>3.9899136291028876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0.76708981311523405</v>
      </c>
      <c r="H22">
        <v>9.3283582089552244E-2</v>
      </c>
      <c r="I22">
        <v>0.41317513433037972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8.1542717447246615E-3</v>
      </c>
      <c r="L22">
        <f t="shared" si="1"/>
        <v>1</v>
      </c>
      <c r="M22">
        <f t="shared" si="2"/>
        <v>0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0.75271591810338589</v>
      </c>
      <c r="H23">
        <v>8.5129310344827583E-2</v>
      </c>
      <c r="I23">
        <v>0.39651075796205171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8.1542717447246615E-3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0.77732045500978897</v>
      </c>
      <c r="H24">
        <v>9.5901005413766435E-2</v>
      </c>
      <c r="I24">
        <v>0.44398627171711047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7.6969671565932235E-3</v>
      </c>
      <c r="L24">
        <f t="shared" si="1"/>
        <v>1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0.75747611456002373</v>
      </c>
      <c r="H25">
        <v>8.8281660535995801E-2</v>
      </c>
      <c r="I25">
        <v>0.39318868092128212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4.0820763364116108E-3</v>
      </c>
      <c r="L25">
        <f t="shared" si="1"/>
        <v>1</v>
      </c>
      <c r="M25">
        <f t="shared" si="2"/>
        <v>0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0.73854391719606893</v>
      </c>
      <c r="H26">
        <v>8.419958419958419E-2</v>
      </c>
      <c r="I26">
        <v>0.39258765474874147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4.0820763364116108E-3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0.75490055709903114</v>
      </c>
      <c r="H27">
        <v>8.8204038257173212E-2</v>
      </c>
      <c r="I27">
        <v>0.39390235226981496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7.6969671565932235E-3</v>
      </c>
      <c r="L27">
        <f t="shared" si="1"/>
        <v>0</v>
      </c>
      <c r="M27">
        <f t="shared" si="2"/>
        <v>0</v>
      </c>
      <c r="O27">
        <f>O14</f>
        <v>8.6892498974633622E-2</v>
      </c>
      <c r="P27">
        <f>Q14</f>
        <v>7.8125988288517662E-2</v>
      </c>
      <c r="Q27">
        <f>S14</f>
        <v>8.7665106861159608E-3</v>
      </c>
      <c r="R27">
        <f>O17</f>
        <v>0.37861893069880648</v>
      </c>
      <c r="S27">
        <f>Q17</f>
        <v>11.220991731639179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0.3698212051015789</v>
      </c>
      <c r="H28">
        <v>3.8924098008882677E-2</v>
      </c>
      <c r="I28">
        <v>9.3639478087425232E-2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0</v>
      </c>
      <c r="L28">
        <f t="shared" si="1"/>
        <v>0</v>
      </c>
      <c r="M28">
        <f t="shared" si="2"/>
        <v>0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0.38127639321564555</v>
      </c>
      <c r="H29">
        <v>3.8924098008882677E-2</v>
      </c>
      <c r="I29">
        <v>9.5488093793392181E-2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0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0.38569560934046915</v>
      </c>
      <c r="H30">
        <v>3.90899067856069E-2</v>
      </c>
      <c r="I30">
        <v>0.16794814138996358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1.6580877672422306E-4</v>
      </c>
      <c r="L30">
        <f t="shared" si="1"/>
        <v>0</v>
      </c>
      <c r="M30">
        <f t="shared" si="2"/>
        <v>0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0.36852817051415182</v>
      </c>
      <c r="H31">
        <v>3.8924098008882677E-2</v>
      </c>
      <c r="I31">
        <v>0.10372354835271835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1.6580877672422306E-4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0.44718098490294755</v>
      </c>
      <c r="H32">
        <v>3.9239360096589196E-2</v>
      </c>
      <c r="I32">
        <v>0.19190360575306173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2.0394185996523012E-4</v>
      </c>
      <c r="L32">
        <f t="shared" si="1"/>
        <v>0</v>
      </c>
      <c r="M32">
        <f t="shared" si="2"/>
        <v>0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0.41330263000239631</v>
      </c>
      <c r="H33">
        <v>3.9035418236623966E-2</v>
      </c>
      <c r="I33">
        <v>0.19147818429129465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2.0394185996523012E-4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0.60477569883493953</v>
      </c>
      <c r="H34">
        <v>5.7079318013343219E-2</v>
      </c>
      <c r="I34">
        <v>0.45035636425018311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1.6474445428633057E-2</v>
      </c>
      <c r="L34">
        <f t="shared" si="1"/>
        <v>1</v>
      </c>
      <c r="M34">
        <f t="shared" si="2"/>
        <v>0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0.51048358381674408</v>
      </c>
      <c r="H35">
        <v>4.0604872584710162E-2</v>
      </c>
      <c r="I35">
        <v>0.28627785432095432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1.6474445428633057E-2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0.51429037707096537</v>
      </c>
      <c r="H36">
        <v>4.2582417582417584E-2</v>
      </c>
      <c r="I36">
        <v>0.47475507429667885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2.7607853103030974E-3</v>
      </c>
      <c r="L36">
        <f t="shared" si="1"/>
        <v>1</v>
      </c>
      <c r="M36">
        <f t="shared" si="2"/>
        <v>0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0.49090597917430545</v>
      </c>
      <c r="H37">
        <v>3.9821632272114486E-2</v>
      </c>
      <c r="I37">
        <v>0.24218123117271734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2.7607853103030974E-3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0.6753613232137633</v>
      </c>
      <c r="H38">
        <v>7.5663466967814785E-2</v>
      </c>
      <c r="I38">
        <v>0.51699711047873209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2.2885689190037008E-2</v>
      </c>
      <c r="L38">
        <f t="shared" si="1"/>
        <v>1</v>
      </c>
      <c r="M38">
        <f t="shared" si="2"/>
        <v>0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0.59135470320054961</v>
      </c>
      <c r="H39">
        <v>5.2777777777777778E-2</v>
      </c>
      <c r="I39">
        <v>0.40813075644629343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2.2885689190037008E-2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0.47056867136965941</v>
      </c>
      <c r="H40">
        <v>3.8677962295225146E-2</v>
      </c>
      <c r="I40">
        <v>1.0962633416056633E-2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0</v>
      </c>
      <c r="L40">
        <f t="shared" si="1"/>
        <v>0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0.46074594628540327</v>
      </c>
      <c r="H41">
        <v>3.8677962295225146E-2</v>
      </c>
      <c r="I41">
        <v>8.6669847369194031E-3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0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0.44969014255510659</v>
      </c>
      <c r="H42">
        <v>3.8677962295225146E-2</v>
      </c>
      <c r="I42">
        <v>1.0008975863456726E-2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0</v>
      </c>
      <c r="L42">
        <f t="shared" si="1"/>
        <v>0</v>
      </c>
      <c r="M42">
        <f t="shared" si="2"/>
        <v>0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0.44120266270331376</v>
      </c>
      <c r="H43">
        <v>3.8677962295225146E-2</v>
      </c>
      <c r="I43">
        <v>1.0997077450156212E-2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0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0.73209246404697892</v>
      </c>
      <c r="H44">
        <v>7.8512396694214878E-2</v>
      </c>
      <c r="I44">
        <v>0.40607285742857019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2.8576925235068301E-3</v>
      </c>
      <c r="L44">
        <f t="shared" si="1"/>
        <v>1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0.70274554667738542</v>
      </c>
      <c r="H45">
        <v>7.5654704170708048E-2</v>
      </c>
      <c r="I45">
        <v>0.39603540848712532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2.8576925235068301E-3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0.75219083612700366</v>
      </c>
      <c r="H46">
        <v>9.1569767441860461E-2</v>
      </c>
      <c r="I46">
        <v>0.45833449704306467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1.7686605929832969E-2</v>
      </c>
      <c r="L46">
        <f t="shared" si="1"/>
        <v>1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0.72036975153676652</v>
      </c>
      <c r="H47">
        <v>7.9794079794079806E-2</v>
      </c>
      <c r="I47">
        <v>0.37780490091868812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6.7717674208546547E-3</v>
      </c>
      <c r="L47">
        <f t="shared" si="1"/>
        <v>1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0.67894751863801284</v>
      </c>
      <c r="H48">
        <v>7.3022312373225151E-2</v>
      </c>
      <c r="I48">
        <v>0.4023778885602951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6.7717674208546547E-3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0.70171330579898183</v>
      </c>
      <c r="H49">
        <v>7.3883161512027493E-2</v>
      </c>
      <c r="I49">
        <v>0.37933489680290222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1.7686605929832969E-2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0.75753483276572398</v>
      </c>
      <c r="H50">
        <v>8.9073019161056449E-2</v>
      </c>
      <c r="I50">
        <v>0.39714473394715055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6.8688637861693547E-3</v>
      </c>
      <c r="L50">
        <f t="shared" si="1"/>
        <v>1</v>
      </c>
      <c r="M50">
        <f t="shared" si="2"/>
        <v>0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0.7403151156748653</v>
      </c>
      <c r="H51">
        <v>8.2204155374887095E-2</v>
      </c>
      <c r="I51">
        <v>0.37420379689761574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6.8688637861693547E-3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0.77478752857485289</v>
      </c>
      <c r="H52">
        <v>9.3979441997063123E-2</v>
      </c>
      <c r="I52">
        <v>0.44171110221317833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1.1088979070068422E-3</v>
      </c>
      <c r="L52">
        <f t="shared" si="1"/>
        <v>0</v>
      </c>
      <c r="M52">
        <f t="shared" si="2"/>
        <v>0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0.76609964720815049</v>
      </c>
      <c r="H53">
        <v>9.322493224932249E-2</v>
      </c>
      <c r="I53">
        <v>0.39932127236103526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7.3880223780778687E-3</v>
      </c>
      <c r="L53">
        <f t="shared" si="1"/>
        <v>1</v>
      </c>
      <c r="M53">
        <f t="shared" si="2"/>
        <v>0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0.74815198523840398</v>
      </c>
      <c r="H54">
        <v>8.5836909871244621E-2</v>
      </c>
      <c r="I54">
        <v>0.39649377215881737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7.3880223780778687E-3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0.77419632472293853</v>
      </c>
      <c r="H55">
        <v>9.2870544090056281E-2</v>
      </c>
      <c r="I55">
        <v>0.37766554951667786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1.1088979070068422E-3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0.74431936233307538</v>
      </c>
      <c r="H56">
        <v>8.4356647090229567E-2</v>
      </c>
      <c r="I56">
        <v>0.53091604855595809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-9.3072647555004634E-3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0.77385322159891035</v>
      </c>
      <c r="H57">
        <v>9.366391184573003E-2</v>
      </c>
      <c r="I57">
        <v>0.41193716015134541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-9.3072647555004634E-3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0.87706380237026416</v>
      </c>
      <c r="H58">
        <v>0.17927823050058206</v>
      </c>
      <c r="I58">
        <v>0.59155504314266905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2.643980255298381E-2</v>
      </c>
      <c r="L58">
        <f t="shared" si="1"/>
        <v>1</v>
      </c>
      <c r="M58">
        <f t="shared" si="2"/>
        <v>0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0.85689326256540066</v>
      </c>
      <c r="H59">
        <v>0.15283842794759825</v>
      </c>
      <c r="I59">
        <v>0.47565264847813821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2.643980255298381E-2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0.88550789423426046</v>
      </c>
      <c r="H60">
        <v>0.1951219512195122</v>
      </c>
      <c r="I60">
        <v>1.1922981142997742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3.0579656897380098E-2</v>
      </c>
      <c r="L60">
        <f t="shared" si="1"/>
        <v>1</v>
      </c>
      <c r="M60">
        <f t="shared" si="2"/>
        <v>0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0.88406819073762777</v>
      </c>
      <c r="H61">
        <v>0.18055555555555558</v>
      </c>
      <c r="I61">
        <v>0.51910745823869897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1.5306466855677076E-2</v>
      </c>
      <c r="L61">
        <f t="shared" si="1"/>
        <v>1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0.87006151269604415</v>
      </c>
      <c r="H62">
        <v>0.1652490886998785</v>
      </c>
      <c r="I62">
        <v>0.48797867675216827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1.5306466855677076E-2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0.86268565564223165</v>
      </c>
      <c r="H63">
        <v>0.1645422943221321</v>
      </c>
      <c r="I63">
        <v>0.48447382875851225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3.0579656897380098E-2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0.90093119014789491</v>
      </c>
      <c r="H64">
        <v>0.21580928481806777</v>
      </c>
      <c r="I64">
        <v>0.54480590838558829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4.6099295559206332E-2</v>
      </c>
      <c r="L64">
        <f t="shared" si="1"/>
        <v>1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0.87292098210444358</v>
      </c>
      <c r="H65">
        <v>0.16970998925886144</v>
      </c>
      <c r="I65">
        <v>0.46719950437545776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4.6099295559206332E-2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0.4384440756003285</v>
      </c>
      <c r="H66">
        <v>3.8874195319127697E-2</v>
      </c>
      <c r="I66">
        <v>3.2865814864635468E-2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4.9902689754979801E-5</v>
      </c>
      <c r="L66">
        <f t="shared" si="1"/>
        <v>0</v>
      </c>
      <c r="M66">
        <f t="shared" si="2"/>
        <v>0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0.42216082460264825</v>
      </c>
      <c r="H67">
        <v>3.8824292629372717E-2</v>
      </c>
      <c r="I67">
        <v>3.0345633625984192E-2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4.9902689754979801E-5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0.41040893653892457</v>
      </c>
      <c r="H68">
        <v>3.8874195319127697E-2</v>
      </c>
      <c r="I68">
        <v>5.3645849227905273E-2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0</v>
      </c>
      <c r="L68">
        <f t="shared" si="4"/>
        <v>0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0.4275093234742271</v>
      </c>
      <c r="H69">
        <v>3.8874195319127697E-2</v>
      </c>
      <c r="I69">
        <v>4.4766858220100403E-2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0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26</v>
      </c>
      <c r="M70">
        <f>SUM(M2:M69)</f>
        <v>1</v>
      </c>
      <c r="N70">
        <f>68-L70-M70</f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3045-190E-4A1A-8199-4263A531A364}">
  <dimension ref="A1:Y70"/>
  <sheetViews>
    <sheetView topLeftCell="A25" workbookViewId="0">
      <selection activeCell="Q33" sqref="Q33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0.64138819546030645</v>
      </c>
      <c r="H2">
        <v>0.86143775003030665</v>
      </c>
      <c r="I2">
        <v>0.27658634343925786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3.7242028560615648E-3</v>
      </c>
      <c r="L2">
        <f>IF(AND(F2=1, K2 &gt; $N$2), 1, 0)</f>
        <v>1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0.64172916093570431</v>
      </c>
      <c r="H3">
        <v>0.86123241145075202</v>
      </c>
      <c r="I3">
        <v>0.27706271105883074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3.5188642765069389E-3</v>
      </c>
      <c r="L3">
        <f t="shared" ref="L3:L66" si="1">IF(AND(F3=1, K3 &gt; $N$2), 1, 0)</f>
        <v>1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5.0000000000000001E-4</v>
      </c>
      <c r="R3" s="3">
        <v>1000</v>
      </c>
      <c r="S3" s="3">
        <v>32</v>
      </c>
      <c r="T3" s="3">
        <v>1</v>
      </c>
      <c r="U3" s="3">
        <v>0.70823391632551758</v>
      </c>
      <c r="V3" s="3">
        <v>0.35374397234100624</v>
      </c>
      <c r="W3" s="3">
        <v>0.26001085857955775</v>
      </c>
      <c r="X3" s="3" t="str">
        <v>1_512_0.0005_1000_32</v>
      </c>
      <c r="Y3" s="3">
        <v>3.8399667845281316E-2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0.6414374710238262</v>
      </c>
      <c r="H4">
        <v>0.86105722599418033</v>
      </c>
      <c r="I4">
        <v>0.27692513137447594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3.3436788199352474E-3</v>
      </c>
      <c r="L4">
        <f t="shared" si="1"/>
        <v>1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0.63045148413712482</v>
      </c>
      <c r="H5">
        <v>0.85771354717424508</v>
      </c>
      <c r="I5">
        <v>0.25319850840130631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3.7242028560615648E-3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1E-4</v>
      </c>
      <c r="R5" s="3">
        <v>1000</v>
      </c>
      <c r="S5" s="3">
        <v>256</v>
      </c>
      <c r="T5" s="3">
        <v>1</v>
      </c>
      <c r="U5" s="3">
        <v>0.19067103109656303</v>
      </c>
      <c r="V5" s="3">
        <v>0.99349417186229338</v>
      </c>
      <c r="W5" s="3">
        <v>0.31387564539909363</v>
      </c>
      <c r="X5" s="3" t="str">
        <v>1_512_0.0001_1000_256</v>
      </c>
      <c r="Y5" s="3">
        <v>0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0.63782610782178861</v>
      </c>
      <c r="H6">
        <v>0.85978209379441028</v>
      </c>
      <c r="I6">
        <v>0.26896948473794119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2.4717408808212493E-3</v>
      </c>
      <c r="L6">
        <f t="shared" si="1"/>
        <v>1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0.64634606699591313</v>
      </c>
      <c r="H7">
        <v>0.85790172642762286</v>
      </c>
      <c r="I7">
        <v>0.27744494165693012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-6.8176325342783617E-4</v>
      </c>
      <c r="L7">
        <f t="shared" si="1"/>
        <v>0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0.63421078115051155</v>
      </c>
      <c r="H8">
        <v>0.85858348968105069</v>
      </c>
      <c r="I8">
        <v>0.24860038988444269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-6.8176325342783617E-4</v>
      </c>
      <c r="L8">
        <f t="shared" si="1"/>
        <v>0</v>
      </c>
      <c r="M8">
        <f t="shared" si="2"/>
        <v>0</v>
      </c>
      <c r="O8">
        <f>AVERAGEIF(F:F, 1, G:G)</f>
        <v>0.57230236893707986</v>
      </c>
      <c r="Q8">
        <f>AVERAGEIF(F:F, 0, G:G)</f>
        <v>0.56402898101547916</v>
      </c>
      <c r="S8">
        <f>O8-Q8</f>
        <v>8.2733879216007056E-3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0.62961787014732107</v>
      </c>
      <c r="H9">
        <v>0.85731035291358904</v>
      </c>
      <c r="I9">
        <v>0.24922138391708842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2.4717408808212493E-3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0.60061517687407939</v>
      </c>
      <c r="H10">
        <v>0.92899632957853429</v>
      </c>
      <c r="I10">
        <v>0.25966055782473818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1.0570122586858188E-3</v>
      </c>
      <c r="L10">
        <f t="shared" si="1"/>
        <v>0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0.59731280900097883</v>
      </c>
      <c r="H11">
        <v>0.92793931731984847</v>
      </c>
      <c r="I11">
        <v>0.23906462046564841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1.0570122586858188E-3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0.84092411014829371</v>
      </c>
      <c r="Q11">
        <f>(S8)/Q8*100</f>
        <v>1.4668373789419966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0.59948252095687615</v>
      </c>
      <c r="H12">
        <v>0.92853522554485557</v>
      </c>
      <c r="I12">
        <v>0.250668005067475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7.9394206835226022E-4</v>
      </c>
      <c r="L12">
        <f t="shared" si="1"/>
        <v>0</v>
      </c>
      <c r="M12">
        <f t="shared" si="2"/>
        <v>0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0.5965410962659784</v>
      </c>
      <c r="H13">
        <v>0.92799393633148053</v>
      </c>
      <c r="I13">
        <v>0.22268690168857574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0</v>
      </c>
      <c r="L13">
        <f t="shared" si="1"/>
        <v>0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0.59743582530349981</v>
      </c>
      <c r="H14">
        <v>0.92799393633148053</v>
      </c>
      <c r="I14">
        <v>0.21543911099433899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0</v>
      </c>
      <c r="L14">
        <f t="shared" si="1"/>
        <v>0</v>
      </c>
      <c r="M14">
        <f t="shared" si="2"/>
        <v>0</v>
      </c>
      <c r="O14">
        <f>AVERAGEIF(F:F, 1, H:H)</f>
        <v>0.79300802211526455</v>
      </c>
      <c r="Q14">
        <f>AVERAGEIF(F:F, 0, H:H)</f>
        <v>0.78684244749076027</v>
      </c>
      <c r="S14">
        <f>O14-Q14</f>
        <v>6.1655746245042886E-3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0.6004196858506935</v>
      </c>
      <c r="H15">
        <v>0.92774128347650331</v>
      </c>
      <c r="I15">
        <v>0.22241593897342682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7.9394206835226022E-4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0.6394241357708883</v>
      </c>
      <c r="H16">
        <v>0.8583172147001934</v>
      </c>
      <c r="I16">
        <v>0.26890342211236762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-1.7449332546937146E-4</v>
      </c>
      <c r="L16">
        <f t="shared" si="1"/>
        <v>0</v>
      </c>
      <c r="M16">
        <f t="shared" si="2"/>
        <v>0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0.63420189012492001</v>
      </c>
      <c r="H17">
        <v>0.85849170802566277</v>
      </c>
      <c r="I17">
        <v>0.26878959122969182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-1.7449332546937146E-4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0.91155091619868567</v>
      </c>
      <c r="Q17">
        <f>(S14)/Q14*100</f>
        <v>0.78358439407613301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0.63880840546847351</v>
      </c>
      <c r="H18">
        <v>0.85618004573354189</v>
      </c>
      <c r="I18">
        <v>0.26670623920401748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-2.5092118261709206E-3</v>
      </c>
      <c r="L18">
        <f t="shared" si="1"/>
        <v>0</v>
      </c>
      <c r="M18">
        <f t="shared" si="2"/>
        <v>1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0.62829942746080014</v>
      </c>
      <c r="H19">
        <v>0.85577841451766945</v>
      </c>
      <c r="I19">
        <v>0.26223082262642528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-9.6216978363294903E-4</v>
      </c>
      <c r="L19">
        <f t="shared" si="1"/>
        <v>0</v>
      </c>
      <c r="M19">
        <f t="shared" si="2"/>
        <v>0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0.62719619044191177</v>
      </c>
      <c r="H20">
        <v>0.8567405843013024</v>
      </c>
      <c r="I20">
        <v>0.24683463238939946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-9.6216978363294903E-4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0.63468993244534477</v>
      </c>
      <c r="H21">
        <v>0.85868925755971282</v>
      </c>
      <c r="I21">
        <v>0.25143889900372951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-2.5092118261709206E-3</v>
      </c>
      <c r="L21">
        <f t="shared" si="1"/>
        <v>0</v>
      </c>
      <c r="M21">
        <f t="shared" si="2"/>
        <v>0</v>
      </c>
      <c r="O21">
        <f>O8</f>
        <v>0.57230236893707986</v>
      </c>
      <c r="P21">
        <f>Q8</f>
        <v>0.56402898101547916</v>
      </c>
      <c r="Q21">
        <f>S8</f>
        <v>8.2733879216007056E-3</v>
      </c>
      <c r="R21">
        <f>O11</f>
        <v>0.84092411014829371</v>
      </c>
      <c r="S21">
        <f>Q11</f>
        <v>1.4668373789419966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0.58420728151613299</v>
      </c>
      <c r="H22">
        <v>0.92774128347650331</v>
      </c>
      <c r="I22">
        <v>0.2249101996421814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-2.5265285497722001E-4</v>
      </c>
      <c r="L22">
        <f t="shared" si="1"/>
        <v>0</v>
      </c>
      <c r="M22">
        <f t="shared" si="2"/>
        <v>0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0.58974063109270425</v>
      </c>
      <c r="H23">
        <v>0.92799393633148053</v>
      </c>
      <c r="I23">
        <v>0.22546210885047913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-2.5265285497722001E-4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0.58960402578002113</v>
      </c>
      <c r="H24">
        <v>0.92799393633148053</v>
      </c>
      <c r="I24">
        <v>0.22097951173782349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2.5265285497722001E-4</v>
      </c>
      <c r="L24">
        <f t="shared" si="1"/>
        <v>0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0.59472970505172651</v>
      </c>
      <c r="H25">
        <v>0.92799393633148053</v>
      </c>
      <c r="I25">
        <v>0.22097432613372803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0</v>
      </c>
      <c r="L25">
        <f t="shared" si="1"/>
        <v>0</v>
      </c>
      <c r="M25">
        <f t="shared" si="2"/>
        <v>0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0.58786916214931428</v>
      </c>
      <c r="H26">
        <v>0.92799393633148053</v>
      </c>
      <c r="I26">
        <v>0.22410380840301514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0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0.57943873096763787</v>
      </c>
      <c r="H27">
        <v>0.92774128347650331</v>
      </c>
      <c r="I27">
        <v>0.22073590755462646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2.5265285497722001E-4</v>
      </c>
      <c r="L27">
        <f t="shared" si="1"/>
        <v>0</v>
      </c>
      <c r="M27">
        <f t="shared" si="2"/>
        <v>0</v>
      </c>
      <c r="O27">
        <f>O14</f>
        <v>0.79300802211526455</v>
      </c>
      <c r="P27">
        <f>Q14</f>
        <v>0.78684244749076027</v>
      </c>
      <c r="Q27">
        <f>S14</f>
        <v>6.1655746245042886E-3</v>
      </c>
      <c r="R27">
        <f>O17</f>
        <v>0.91155091619868567</v>
      </c>
      <c r="S27">
        <f>Q17</f>
        <v>0.78358439407613301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0.67620606848057041</v>
      </c>
      <c r="H28">
        <v>0.48981044762837056</v>
      </c>
      <c r="I28">
        <v>0.26775017928104011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-8.7433257084687521E-3</v>
      </c>
      <c r="L28">
        <f t="shared" si="1"/>
        <v>0</v>
      </c>
      <c r="M28">
        <f t="shared" si="2"/>
        <v>1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0.6884629123191941</v>
      </c>
      <c r="H29">
        <v>0.49855377333683931</v>
      </c>
      <c r="I29">
        <v>0.26618110890291174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-8.7433257084687521E-3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0.7053028968787286</v>
      </c>
      <c r="H30">
        <v>0.52241021074502814</v>
      </c>
      <c r="I30">
        <v>0.35915795744073636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2.7162058685893997E-2</v>
      </c>
      <c r="L30">
        <f t="shared" si="1"/>
        <v>1</v>
      </c>
      <c r="M30">
        <f t="shared" si="2"/>
        <v>0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0.68707593341523221</v>
      </c>
      <c r="H31">
        <v>0.49524815205913414</v>
      </c>
      <c r="I31">
        <v>0.26876864992842381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2.7162058685893997E-2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0.67835821760954684</v>
      </c>
      <c r="H32">
        <v>0.62439496611810263</v>
      </c>
      <c r="I32">
        <v>0.28432336358391508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-1.076159353310624E-2</v>
      </c>
      <c r="L32">
        <f t="shared" si="1"/>
        <v>0</v>
      </c>
      <c r="M32">
        <f t="shared" si="2"/>
        <v>1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0.68135760167161219</v>
      </c>
      <c r="H33">
        <v>0.63515655965120887</v>
      </c>
      <c r="I33">
        <v>0.28457221936206428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-1.076159353310624E-2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0.67842611487971183</v>
      </c>
      <c r="H34">
        <v>0.71283471837488455</v>
      </c>
      <c r="I34">
        <v>0.30853478123947065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-8.2552680900338515E-4</v>
      </c>
      <c r="L34">
        <f t="shared" si="1"/>
        <v>0</v>
      </c>
      <c r="M34">
        <f t="shared" si="2"/>
        <v>0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0.66982057931538619</v>
      </c>
      <c r="H35">
        <v>0.71366024518388793</v>
      </c>
      <c r="I35">
        <v>0.28123388606674815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-8.2552680900338515E-4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0.70704828643492312</v>
      </c>
      <c r="H36">
        <v>0.73931005990497833</v>
      </c>
      <c r="I36">
        <v>0.34251242541536997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1.7558049748397697E-2</v>
      </c>
      <c r="L36">
        <f t="shared" si="1"/>
        <v>1</v>
      </c>
      <c r="M36">
        <f t="shared" si="2"/>
        <v>0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0.6843369680145156</v>
      </c>
      <c r="H37">
        <v>0.72175201015658064</v>
      </c>
      <c r="I37">
        <v>0.28361465249742779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1.7558049748397697E-2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0.66783051871216326</v>
      </c>
      <c r="H38">
        <v>0.78614457831325302</v>
      </c>
      <c r="I38">
        <v>0.32981780323447013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2.3669009522047091E-3</v>
      </c>
      <c r="L38">
        <f t="shared" si="1"/>
        <v>1</v>
      </c>
      <c r="M38">
        <f t="shared" si="2"/>
        <v>0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0.65516736842839285</v>
      </c>
      <c r="H39">
        <v>0.78377767736104831</v>
      </c>
      <c r="I39">
        <v>0.27005258141731731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2.3669009522047091E-3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0.62544146494145292</v>
      </c>
      <c r="H40">
        <v>0.21176179886335555</v>
      </c>
      <c r="I40">
        <v>0.19815982148355366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-1.9554927115292137E-2</v>
      </c>
      <c r="L40">
        <f t="shared" si="1"/>
        <v>0</v>
      </c>
      <c r="M40">
        <f t="shared" si="2"/>
        <v>1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0.64640551366766608</v>
      </c>
      <c r="H41">
        <v>0.23131672597864769</v>
      </c>
      <c r="I41">
        <v>0.19299489921148943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-1.9554927115292137E-2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0.59973112517944649</v>
      </c>
      <c r="H42">
        <v>0.19685526804506626</v>
      </c>
      <c r="I42">
        <v>0.18585669625626536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-2.0949017353652538E-2</v>
      </c>
      <c r="L42">
        <f t="shared" si="1"/>
        <v>0</v>
      </c>
      <c r="M42">
        <f t="shared" si="2"/>
        <v>1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0.64987384857853081</v>
      </c>
      <c r="H43">
        <v>0.21780428539871879</v>
      </c>
      <c r="I43">
        <v>0.21360121568550869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-2.0949017353652538E-2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0.63991292793684484</v>
      </c>
      <c r="H44">
        <v>0.86074429771908756</v>
      </c>
      <c r="I44">
        <v>0.26725979787962778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2.8028710572817195E-3</v>
      </c>
      <c r="L44">
        <f t="shared" si="1"/>
        <v>1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0.63510813201052019</v>
      </c>
      <c r="H45">
        <v>0.85794142666180584</v>
      </c>
      <c r="I45">
        <v>0.27003896479703943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2.8028710572817195E-3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0.64423310940803336</v>
      </c>
      <c r="H46">
        <v>0.85964912280701755</v>
      </c>
      <c r="I46">
        <v>0.26757749854301921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2.4056384210114912E-3</v>
      </c>
      <c r="L46">
        <f t="shared" si="1"/>
        <v>1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0.63954786028363875</v>
      </c>
      <c r="H47">
        <v>0.85921521997621875</v>
      </c>
      <c r="I47">
        <v>0.2592545747756958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2.9497186180045265E-3</v>
      </c>
      <c r="L47">
        <f t="shared" si="1"/>
        <v>1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0.63730775031772025</v>
      </c>
      <c r="H48">
        <v>0.85626550135821422</v>
      </c>
      <c r="I48">
        <v>0.2538529731789414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2.9497186180045265E-3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0.63508767193958049</v>
      </c>
      <c r="H49">
        <v>0.85724348438600606</v>
      </c>
      <c r="I49">
        <v>0.2501699173328828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2.4056384210114912E-3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0.59858397746036185</v>
      </c>
      <c r="H50">
        <v>0.92810954735640927</v>
      </c>
      <c r="I50">
        <v>0.25284670810310206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-6.4453655224450124E-5</v>
      </c>
      <c r="L50">
        <f t="shared" si="1"/>
        <v>0</v>
      </c>
      <c r="M50">
        <f t="shared" si="2"/>
        <v>0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0.59800966297824376</v>
      </c>
      <c r="H51">
        <v>0.92817400101163372</v>
      </c>
      <c r="I51">
        <v>0.23943914199361996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-6.4453655224450124E-5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0.59570048486541871</v>
      </c>
      <c r="H52">
        <v>0.92868946231091909</v>
      </c>
      <c r="I52">
        <v>0.25574710113661631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9.4817883441578044E-4</v>
      </c>
      <c r="L52">
        <f t="shared" si="1"/>
        <v>0</v>
      </c>
      <c r="M52">
        <f t="shared" si="2"/>
        <v>0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0.59271710112559917</v>
      </c>
      <c r="H53">
        <v>0.92807306862869476</v>
      </c>
      <c r="I53">
        <v>0.25157954498213164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-7.0618500824382036E-4</v>
      </c>
      <c r="L53">
        <f t="shared" si="1"/>
        <v>0</v>
      </c>
      <c r="M53">
        <f t="shared" si="2"/>
        <v>0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0.60103452895961107</v>
      </c>
      <c r="H54">
        <v>0.92877925363693858</v>
      </c>
      <c r="I54">
        <v>0.23861957569511569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-7.0618500824382036E-4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0.58618507850394996</v>
      </c>
      <c r="H55">
        <v>0.92774128347650331</v>
      </c>
      <c r="I55">
        <v>0.21850009262561798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9.4817883441578044E-4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0.19067103109656303</v>
      </c>
      <c r="H56">
        <v>0.99349417186229338</v>
      </c>
      <c r="I56">
        <v>0.31387564539909363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0</v>
      </c>
      <c r="L56">
        <f t="shared" si="1"/>
        <v>0</v>
      </c>
      <c r="M56">
        <f t="shared" si="2"/>
        <v>0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0.17232533574769882</v>
      </c>
      <c r="H57">
        <v>0.99349417186229338</v>
      </c>
      <c r="I57">
        <v>0.25863203406333923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0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0.17863402630265462</v>
      </c>
      <c r="H58">
        <v>0.99349417186229338</v>
      </c>
      <c r="I58">
        <v>0.28171661496162415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0</v>
      </c>
      <c r="L58">
        <f t="shared" si="1"/>
        <v>0</v>
      </c>
      <c r="M58">
        <f t="shared" si="2"/>
        <v>0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0.16034636858539078</v>
      </c>
      <c r="H59">
        <v>0.99349417186229338</v>
      </c>
      <c r="I59">
        <v>0.23845374584197998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0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0.17791145778923051</v>
      </c>
      <c r="H60">
        <v>0.99349417186229338</v>
      </c>
      <c r="I60">
        <v>0.26699560880661011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0</v>
      </c>
      <c r="L60">
        <f t="shared" si="1"/>
        <v>0</v>
      </c>
      <c r="M60">
        <f t="shared" si="2"/>
        <v>0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0.17115587747095215</v>
      </c>
      <c r="H61">
        <v>0.99349417186229338</v>
      </c>
      <c r="I61">
        <v>0.24135510623455048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0</v>
      </c>
      <c r="L61">
        <f t="shared" si="1"/>
        <v>0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0.18165198314587178</v>
      </c>
      <c r="H62">
        <v>0.99349417186229338</v>
      </c>
      <c r="I62">
        <v>0.2310003936290741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0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0.17081925920767024</v>
      </c>
      <c r="H63">
        <v>0.99349417186229338</v>
      </c>
      <c r="I63">
        <v>0.23308584094047546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0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0.17242690160299939</v>
      </c>
      <c r="H64">
        <v>0.99349417186229338</v>
      </c>
      <c r="I64">
        <v>0.22401398420333862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0</v>
      </c>
      <c r="L64">
        <f t="shared" si="1"/>
        <v>0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0.17527074555141553</v>
      </c>
      <c r="H65">
        <v>0.99349417186229338</v>
      </c>
      <c r="I65">
        <v>0.22865249216556549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0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0.70823391632551758</v>
      </c>
      <c r="H66">
        <v>0.35374397234100624</v>
      </c>
      <c r="I66">
        <v>0.26001085857955775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3.8399667845281316E-2</v>
      </c>
      <c r="L66">
        <f t="shared" si="1"/>
        <v>1</v>
      </c>
      <c r="M66">
        <f t="shared" si="2"/>
        <v>0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0.6745642702897473</v>
      </c>
      <c r="H67">
        <v>0.31534430449572493</v>
      </c>
      <c r="I67">
        <v>0.26227750918086695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3.8399667845281316E-2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0.70207077063091794</v>
      </c>
      <c r="H68">
        <v>0.34512164534737894</v>
      </c>
      <c r="I68">
        <v>0.30802371064010931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3.0483054539523102E-2</v>
      </c>
      <c r="L68">
        <f t="shared" si="4"/>
        <v>1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0.68015986805090334</v>
      </c>
      <c r="H69">
        <v>0.31463859080785583</v>
      </c>
      <c r="I69">
        <v>0.28336376305289412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3.0483054539523102E-2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12</v>
      </c>
      <c r="M70">
        <f>SUM(M2:M69)</f>
        <v>5</v>
      </c>
      <c r="N70">
        <f>68-L70-M70</f>
        <v>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A7F9-D7F5-4226-93C7-305ECFA43C93}">
  <dimension ref="A1:Y70"/>
  <sheetViews>
    <sheetView workbookViewId="0">
      <selection activeCell="Q33" sqref="Q33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0.84369774902101757</v>
      </c>
      <c r="H2">
        <v>0.16923076923076924</v>
      </c>
      <c r="I2">
        <v>0.41592875548771452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5.1572190186051914E-3</v>
      </c>
      <c r="L2">
        <f>IF(AND(F2=1, K2 &gt; $N$2), 1, 0)</f>
        <v>1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0.84356159011813148</v>
      </c>
      <c r="H3">
        <v>0.16858237547892724</v>
      </c>
      <c r="I3">
        <v>0.41586249215262278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4.508825266763189E-3</v>
      </c>
      <c r="L3">
        <f t="shared" ref="L3:L66" si="1">IF(AND(F3=1, K3 &gt; $N$2), 1, 0)</f>
        <v>1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2E-3</v>
      </c>
      <c r="R3" s="3">
        <v>1000</v>
      </c>
      <c r="S3" s="3">
        <v>256</v>
      </c>
      <c r="T3" s="3">
        <v>1</v>
      </c>
      <c r="U3" s="3">
        <v>0.90610661268556014</v>
      </c>
      <c r="V3" s="3">
        <v>0.2752808988764045</v>
      </c>
      <c r="W3" s="3">
        <v>0.61349822732867021</v>
      </c>
      <c r="X3" s="3" t="str">
        <v>1_512_0.002_1000_256</v>
      </c>
      <c r="Y3" s="3">
        <v>4.3090925261628804E-2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0.84376582847246051</v>
      </c>
      <c r="H4">
        <v>0.16901408450704225</v>
      </c>
      <c r="I4">
        <v>0.41582279971667702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4.9405342948782016E-3</v>
      </c>
      <c r="L4">
        <f t="shared" si="1"/>
        <v>1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0.83101318562815552</v>
      </c>
      <c r="H5">
        <v>0.16407355021216405</v>
      </c>
      <c r="I5">
        <v>0.42812004107601787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5.1572190186051914E-3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2E-3</v>
      </c>
      <c r="R5" s="3">
        <v>1000</v>
      </c>
      <c r="S5" s="3">
        <v>256</v>
      </c>
      <c r="T5" s="3">
        <v>1</v>
      </c>
      <c r="U5" s="3">
        <v>0.90610661268556014</v>
      </c>
      <c r="V5" s="3">
        <v>0.2752808988764045</v>
      </c>
      <c r="W5" s="3">
        <v>0.61349822732867021</v>
      </c>
      <c r="X5" s="3" t="str">
        <v>1_512_0.002_1000_256</v>
      </c>
      <c r="Y5" s="3">
        <v>4.3090925261628804E-2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0.85900745606152196</v>
      </c>
      <c r="H6">
        <v>0.18373493975903613</v>
      </c>
      <c r="I6">
        <v>0.46658250020474801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2.0166166524835383E-2</v>
      </c>
      <c r="L6">
        <f t="shared" si="1"/>
        <v>1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0.85553268085987066</v>
      </c>
      <c r="H7">
        <v>0.17754569190600522</v>
      </c>
      <c r="I7">
        <v>0.42095592192241121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7.2160215763348856E-3</v>
      </c>
      <c r="L7">
        <f t="shared" si="1"/>
        <v>1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0.83424559798266973</v>
      </c>
      <c r="H8">
        <v>0.17032967032967034</v>
      </c>
      <c r="I8">
        <v>0.41839239974411169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7.2160215763348856E-3</v>
      </c>
      <c r="L8">
        <f t="shared" si="1"/>
        <v>0</v>
      </c>
      <c r="M8">
        <f t="shared" si="2"/>
        <v>0</v>
      </c>
      <c r="O8">
        <f>AVERAGEIF(F:F, 1, G:G)</f>
        <v>0.79943464979344947</v>
      </c>
      <c r="Q8">
        <f>AVERAGEIF(F:F, 0, G:G)</f>
        <v>0.78584083723461007</v>
      </c>
      <c r="S8">
        <f>O8-Q8</f>
        <v>1.3593812558839402E-2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0.83743443948826035</v>
      </c>
      <c r="H9">
        <v>0.16356877323420074</v>
      </c>
      <c r="I9">
        <v>0.4022520695413862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2.0166166524835383E-2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0.85495879743496384</v>
      </c>
      <c r="H10">
        <v>0.16750418760469013</v>
      </c>
      <c r="I10">
        <v>0.4696861067596747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3.2529798752215233E-3</v>
      </c>
      <c r="L10">
        <f t="shared" si="1"/>
        <v>1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0.83517487869578466</v>
      </c>
      <c r="H11">
        <v>0.16425120772946861</v>
      </c>
      <c r="I11">
        <v>0.43735704920729812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3.2529798752215233E-3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0.64711528467359447</v>
      </c>
      <c r="Q11">
        <f>(S8)/Q8*100</f>
        <v>1.7298429802498307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0.85323118762957073</v>
      </c>
      <c r="H12">
        <v>0.17870722433460076</v>
      </c>
      <c r="I12">
        <v>0.47514639156205313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-8.5837455650648042E-3</v>
      </c>
      <c r="L12">
        <f t="shared" si="1"/>
        <v>0</v>
      </c>
      <c r="M12">
        <f t="shared" si="2"/>
        <v>1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0.8594803052482185</v>
      </c>
      <c r="H13">
        <v>0.17513134851138354</v>
      </c>
      <c r="I13">
        <v>0.45657052251757407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7.6894880462672621E-3</v>
      </c>
      <c r="L13">
        <f t="shared" si="1"/>
        <v>1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0.84627988021905354</v>
      </c>
      <c r="H14">
        <v>0.16744186046511628</v>
      </c>
      <c r="I14">
        <v>0.43045323357290155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7.6894880462672621E-3</v>
      </c>
      <c r="L14">
        <f t="shared" si="1"/>
        <v>0</v>
      </c>
      <c r="M14">
        <f t="shared" si="2"/>
        <v>0</v>
      </c>
      <c r="O14">
        <f>AVERAGEIF(F:F, 1, H:H)</f>
        <v>0.16173816410275785</v>
      </c>
      <c r="Q14">
        <f>AVERAGEIF(F:F, 0, H:H)</f>
        <v>0.15207017320734428</v>
      </c>
      <c r="S14">
        <f>O14-Q14</f>
        <v>9.667990895413564E-3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0.85416372539549268</v>
      </c>
      <c r="H15">
        <v>0.18729096989966557</v>
      </c>
      <c r="I15">
        <v>0.44332430800613093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-8.5837455650648042E-3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0.8571611413383875</v>
      </c>
      <c r="H16">
        <v>0.18658892128279883</v>
      </c>
      <c r="I16">
        <v>0.43159806363436637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2.4577748098441293E-2</v>
      </c>
      <c r="L16">
        <f t="shared" si="1"/>
        <v>1</v>
      </c>
      <c r="M16">
        <f t="shared" si="2"/>
        <v>0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0.83610552859609277</v>
      </c>
      <c r="H17">
        <v>0.16201117318435754</v>
      </c>
      <c r="I17">
        <v>0.41880071011124825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2.4577748098441293E-2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0.48439943581725409</v>
      </c>
      <c r="Q17">
        <f>(S14)/Q14*100</f>
        <v>6.3575852460110465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0.85586218540485492</v>
      </c>
      <c r="H18">
        <v>0.17673048600883651</v>
      </c>
      <c r="I18">
        <v>0.43546086914685311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9.5916758105362432E-3</v>
      </c>
      <c r="L18">
        <f t="shared" si="1"/>
        <v>1</v>
      </c>
      <c r="M18">
        <f t="shared" si="2"/>
        <v>0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0.84421242967392651</v>
      </c>
      <c r="H19">
        <v>0.16954022988505749</v>
      </c>
      <c r="I19">
        <v>0.42738873131421151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9.645079164218695E-3</v>
      </c>
      <c r="L19">
        <f t="shared" si="1"/>
        <v>1</v>
      </c>
      <c r="M19">
        <f t="shared" si="2"/>
        <v>0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0.83833036506925029</v>
      </c>
      <c r="H20">
        <v>0.15989515072083879</v>
      </c>
      <c r="I20">
        <v>0.40898711766515461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9.645079164218695E-3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0.84448474747969859</v>
      </c>
      <c r="H21">
        <v>0.16713881019830026</v>
      </c>
      <c r="I21">
        <v>0.42342752066193795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9.5916758105362432E-3</v>
      </c>
      <c r="L21">
        <f t="shared" si="1"/>
        <v>0</v>
      </c>
      <c r="M21">
        <f t="shared" si="2"/>
        <v>0</v>
      </c>
      <c r="O21">
        <f>O8</f>
        <v>0.79943464979344947</v>
      </c>
      <c r="P21">
        <f>Q8</f>
        <v>0.78584083723461007</v>
      </c>
      <c r="Q21">
        <f>S8</f>
        <v>1.3593812558839402E-2</v>
      </c>
      <c r="R21">
        <f>O11</f>
        <v>0.64711528467359447</v>
      </c>
      <c r="S21">
        <f>Q11</f>
        <v>1.7298429802498307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0.85916450560637248</v>
      </c>
      <c r="H22">
        <v>0.17578125</v>
      </c>
      <c r="I22">
        <v>0.46770618034868827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7.4644183168316725E-3</v>
      </c>
      <c r="L22">
        <f t="shared" si="1"/>
        <v>1</v>
      </c>
      <c r="M22">
        <f t="shared" si="2"/>
        <v>0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0.85106888890540122</v>
      </c>
      <c r="H23">
        <v>0.16831683168316833</v>
      </c>
      <c r="I23">
        <v>0.44193160533905029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7.4644183168316725E-3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0.86551765134233427</v>
      </c>
      <c r="H24">
        <v>0.18604651162790695</v>
      </c>
      <c r="I24">
        <v>0.44250987318097329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1.320700545506745E-2</v>
      </c>
      <c r="L24">
        <f t="shared" si="1"/>
        <v>1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0.85536747932441159</v>
      </c>
      <c r="H25">
        <v>0.16961130742049471</v>
      </c>
      <c r="I25">
        <v>0.45599380561283659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-2.6859898768026025E-3</v>
      </c>
      <c r="L25">
        <f t="shared" si="1"/>
        <v>0</v>
      </c>
      <c r="M25">
        <f t="shared" si="2"/>
        <v>1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0.85444237213829799</v>
      </c>
      <c r="H26">
        <v>0.17229729729729731</v>
      </c>
      <c r="I26">
        <v>0.44618950084764131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-2.6859898768026025E-3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0.8512360769510845</v>
      </c>
      <c r="H27">
        <v>0.1728395061728395</v>
      </c>
      <c r="I27">
        <v>0.428133528147425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1.320700545506745E-2</v>
      </c>
      <c r="L27">
        <f t="shared" si="1"/>
        <v>0</v>
      </c>
      <c r="M27">
        <f t="shared" si="2"/>
        <v>0</v>
      </c>
      <c r="O27">
        <f>O14</f>
        <v>0.16173816410275785</v>
      </c>
      <c r="P27">
        <f>Q14</f>
        <v>0.15207017320734428</v>
      </c>
      <c r="Q27">
        <f>S14</f>
        <v>9.667990895413564E-3</v>
      </c>
      <c r="R27">
        <f>O17</f>
        <v>0.48439943581725409</v>
      </c>
      <c r="S27">
        <f>Q17</f>
        <v>6.3575852460110465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0.63036969107703178</v>
      </c>
      <c r="H28">
        <v>7.2459666006227011E-2</v>
      </c>
      <c r="I28">
        <v>0.29568418799614421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-2.8541415251537305E-3</v>
      </c>
      <c r="L28">
        <f t="shared" si="1"/>
        <v>0</v>
      </c>
      <c r="M28">
        <f t="shared" si="2"/>
        <v>1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0.64079172866241418</v>
      </c>
      <c r="H29">
        <v>7.5313807531380741E-2</v>
      </c>
      <c r="I29">
        <v>0.2933763849491976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-2.8541415251537305E-3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0.61581450135776816</v>
      </c>
      <c r="H30">
        <v>6.783796974133724E-2</v>
      </c>
      <c r="I30">
        <v>0.35197778684752329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-8.7980093579411861E-3</v>
      </c>
      <c r="L30">
        <f t="shared" si="1"/>
        <v>0</v>
      </c>
      <c r="M30">
        <f t="shared" si="2"/>
        <v>1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0.64323135339785809</v>
      </c>
      <c r="H31">
        <v>7.6635979099278426E-2</v>
      </c>
      <c r="I31">
        <v>0.28846103013778218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-8.7980093579411861E-3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0.70789667764175546</v>
      </c>
      <c r="H32">
        <v>9.006622516556291E-2</v>
      </c>
      <c r="I32">
        <v>0.34571824694166381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7.0294517373303972E-3</v>
      </c>
      <c r="L32">
        <f t="shared" si="1"/>
        <v>1</v>
      </c>
      <c r="M32">
        <f t="shared" si="2"/>
        <v>0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0.68289957793786193</v>
      </c>
      <c r="H33">
        <v>8.3036773428232513E-2</v>
      </c>
      <c r="I33">
        <v>0.33308794547100457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7.0294517373303972E-3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0.80505590666018467</v>
      </c>
      <c r="H34">
        <v>0.1391465677179963</v>
      </c>
      <c r="I34">
        <v>0.45545103294508793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2.481351055146773E-2</v>
      </c>
      <c r="L34">
        <f t="shared" si="1"/>
        <v>1</v>
      </c>
      <c r="M34">
        <f t="shared" si="2"/>
        <v>0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0.75756839174437618</v>
      </c>
      <c r="H35">
        <v>0.11433305716652857</v>
      </c>
      <c r="I35">
        <v>0.38447131429399761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2.481351055146773E-2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0.75728726251331968</v>
      </c>
      <c r="H36">
        <v>0.12170385395537525</v>
      </c>
      <c r="I36">
        <v>0.49423706531524658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2.8919727672564316E-3</v>
      </c>
      <c r="L36">
        <f t="shared" si="1"/>
        <v>1</v>
      </c>
      <c r="M36">
        <f t="shared" si="2"/>
        <v>0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0.76301296877378555</v>
      </c>
      <c r="H37">
        <v>0.11881188118811882</v>
      </c>
      <c r="I37">
        <v>0.3877347750323159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2.8919727672564316E-3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0.83876208439604749</v>
      </c>
      <c r="H38">
        <v>0.16173120728929385</v>
      </c>
      <c r="I38">
        <v>0.47144456542268087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1.9391038411127381E-2</v>
      </c>
      <c r="L38">
        <f t="shared" si="1"/>
        <v>1</v>
      </c>
      <c r="M38">
        <f t="shared" si="2"/>
        <v>0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0.80996571315118282</v>
      </c>
      <c r="H39">
        <v>0.14234016887816647</v>
      </c>
      <c r="I39">
        <v>0.41539697257839903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1.9391038411127381E-2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0.48425957914207957</v>
      </c>
      <c r="H40">
        <v>4.8138218647602024E-2</v>
      </c>
      <c r="I40">
        <v>1.2715728953480721E-2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0</v>
      </c>
      <c r="L40">
        <f t="shared" si="1"/>
        <v>0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0.45824763629547133</v>
      </c>
      <c r="H41">
        <v>4.8138218647602024E-2</v>
      </c>
      <c r="I41">
        <v>1.3638626784086227E-2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0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0.46427729046570754</v>
      </c>
      <c r="H42">
        <v>4.8138218647602024E-2</v>
      </c>
      <c r="I42">
        <v>1.1616917327046394E-2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0</v>
      </c>
      <c r="L42">
        <f t="shared" si="1"/>
        <v>0</v>
      </c>
      <c r="M42">
        <f t="shared" si="2"/>
        <v>0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0.45436917400862287</v>
      </c>
      <c r="H43">
        <v>4.8138218647602024E-2</v>
      </c>
      <c r="I43">
        <v>1.3078885152935982E-2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0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0.85597383570522134</v>
      </c>
      <c r="H44">
        <v>0.18938307030129126</v>
      </c>
      <c r="I44">
        <v>0.43342594072526819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1.3994102833115862E-2</v>
      </c>
      <c r="L44">
        <f t="shared" si="1"/>
        <v>1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0.84493134868116482</v>
      </c>
      <c r="H45">
        <v>0.17538896746817539</v>
      </c>
      <c r="I45">
        <v>0.42912130878896126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1.3994102833115862E-2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0.86383020440174496</v>
      </c>
      <c r="H46">
        <v>0.19130434782608693</v>
      </c>
      <c r="I46">
        <v>0.43668153547510813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1.961760083813513E-2</v>
      </c>
      <c r="L46">
        <f t="shared" si="1"/>
        <v>1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0.84949811828396204</v>
      </c>
      <c r="H47">
        <v>0.17354196301564723</v>
      </c>
      <c r="I47">
        <v>0.42796052414543773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1.3643485858286813E-2</v>
      </c>
      <c r="L47">
        <f t="shared" si="1"/>
        <v>1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0.83549281353310567</v>
      </c>
      <c r="H48">
        <v>0.15989847715736041</v>
      </c>
      <c r="I48">
        <v>0.40306221161569866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1.3643485858286813E-2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0.84359154507676648</v>
      </c>
      <c r="H49">
        <v>0.1716867469879518</v>
      </c>
      <c r="I49">
        <v>0.43709880113601685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1.961760083813513E-2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0.85484733873784169</v>
      </c>
      <c r="H50">
        <v>0.17815126050420166</v>
      </c>
      <c r="I50">
        <v>0.45282114281946295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1.5526438820892136E-2</v>
      </c>
      <c r="L50">
        <f t="shared" si="1"/>
        <v>1</v>
      </c>
      <c r="M50">
        <f t="shared" si="2"/>
        <v>0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0.84377205953380552</v>
      </c>
      <c r="H51">
        <v>0.16262482168330952</v>
      </c>
      <c r="I51">
        <v>0.41309412888118202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1.5526438820892136E-2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0.86266802398591169</v>
      </c>
      <c r="H52">
        <v>0.18914185639229422</v>
      </c>
      <c r="I52">
        <v>0.45395395707110969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-4.5266724717653584E-3</v>
      </c>
      <c r="L52">
        <f t="shared" si="1"/>
        <v>0</v>
      </c>
      <c r="M52">
        <f t="shared" si="2"/>
        <v>1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0.85515570779987971</v>
      </c>
      <c r="H53">
        <v>0.17777777777777778</v>
      </c>
      <c r="I53">
        <v>0.44721815050864711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-3.0540486236688702E-3</v>
      </c>
      <c r="L53">
        <f t="shared" si="1"/>
        <v>0</v>
      </c>
      <c r="M53">
        <f t="shared" si="2"/>
        <v>1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0.84956791178415658</v>
      </c>
      <c r="H54">
        <v>0.18083182640144665</v>
      </c>
      <c r="I54">
        <v>0.45716031716794381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-3.0540486236688702E-3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0.86089954599157381</v>
      </c>
      <c r="H55">
        <v>0.19366852886405958</v>
      </c>
      <c r="I55">
        <v>0.46374845383118612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-4.5266724717653584E-3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0.85085791401580868</v>
      </c>
      <c r="H56">
        <v>0.18832391713747645</v>
      </c>
      <c r="I56">
        <v>0.61504088007673929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-9.52554522811494E-3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0.86532195874301132</v>
      </c>
      <c r="H57">
        <v>0.19784946236559139</v>
      </c>
      <c r="I57">
        <v>0.48564926398043728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-9.52554522811494E-3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0.89552727973780599</v>
      </c>
      <c r="H58">
        <v>0.26178010471204188</v>
      </c>
      <c r="I58">
        <v>0.63123706165625126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3.3873127967855826E-2</v>
      </c>
      <c r="L58">
        <f t="shared" si="1"/>
        <v>1</v>
      </c>
      <c r="M58">
        <f t="shared" si="2"/>
        <v>0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0.88384904569115097</v>
      </c>
      <c r="H59">
        <v>0.22790697674418606</v>
      </c>
      <c r="I59">
        <v>0.49674312435850804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3.3873127967855826E-2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0.90402448428764215</v>
      </c>
      <c r="H60">
        <v>0.26849315068493151</v>
      </c>
      <c r="I60">
        <v>0.7000659862343146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2.5774704082989791E-2</v>
      </c>
      <c r="L60">
        <f t="shared" si="1"/>
        <v>1</v>
      </c>
      <c r="M60">
        <f t="shared" si="2"/>
        <v>0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0.89142567958357422</v>
      </c>
      <c r="H61">
        <v>0.24578313253012046</v>
      </c>
      <c r="I61">
        <v>0.54659855183289974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1.5783132530120453E-2</v>
      </c>
      <c r="L61">
        <f t="shared" si="1"/>
        <v>1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0.88569982648930001</v>
      </c>
      <c r="H62">
        <v>0.23</v>
      </c>
      <c r="I62">
        <v>0.51284302923144121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1.5783132530120453E-2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0.88727106227106212</v>
      </c>
      <c r="H63">
        <v>0.24271844660194172</v>
      </c>
      <c r="I63">
        <v>0.51175150092767208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2.5774704082989791E-2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0.90610661268556014</v>
      </c>
      <c r="H64">
        <v>0.2752808988764045</v>
      </c>
      <c r="I64">
        <v>0.61349822732867021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4.3090925261628804E-2</v>
      </c>
      <c r="L64">
        <f t="shared" si="1"/>
        <v>1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0.887309620204357</v>
      </c>
      <c r="H65">
        <v>0.2321899736147757</v>
      </c>
      <c r="I65">
        <v>0.5340031190794341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4.3090925261628804E-2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0.57556334173624113</v>
      </c>
      <c r="H66">
        <v>5.9697914169263969E-2</v>
      </c>
      <c r="I66">
        <v>0.19237676962297789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2.4179141692639711E-3</v>
      </c>
      <c r="L66">
        <f t="shared" si="1"/>
        <v>1</v>
      </c>
      <c r="M66">
        <f t="shared" si="2"/>
        <v>0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0.55294533484431485</v>
      </c>
      <c r="H67">
        <v>5.7279999999999998E-2</v>
      </c>
      <c r="I67">
        <v>0.223281735668377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2.4179141692639711E-3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0.56049022101960411</v>
      </c>
      <c r="H68">
        <v>5.9205094940441093E-2</v>
      </c>
      <c r="I68">
        <v>0.24221526276396246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-8.634872991237566E-4</v>
      </c>
      <c r="L68">
        <f t="shared" si="4"/>
        <v>0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0.56802932537755269</v>
      </c>
      <c r="H69">
        <v>6.0068582239564849E-2</v>
      </c>
      <c r="I69">
        <v>0.19471363525609581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-8.634872991237566E-4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25</v>
      </c>
      <c r="M70">
        <f>SUM(M2:M69)</f>
        <v>7</v>
      </c>
      <c r="N70">
        <f>68-L70-M70</f>
        <v>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8C16-A122-4638-A1FE-5ABA25FE3729}">
  <dimension ref="A1:Y70"/>
  <sheetViews>
    <sheetView topLeftCell="A25" workbookViewId="0">
      <selection activeCell="Q33" sqref="Q33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K1" s="4" t="s">
        <v>21</v>
      </c>
      <c r="L1" s="4" t="s">
        <v>22</v>
      </c>
      <c r="M1" s="4" t="s">
        <v>23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0.78211052926299462</v>
      </c>
      <c r="H2">
        <v>7.4664429530201346E-2</v>
      </c>
      <c r="I2">
        <v>0.38533449172973633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-1.3169972321456364E-3</v>
      </c>
      <c r="L2">
        <f>IF(AND(F2=1, K2 &gt; $N$2), 1, 0)</f>
        <v>0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7" t="s">
        <v>21</v>
      </c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0.78223436855804895</v>
      </c>
      <c r="H3">
        <v>7.4758504829903413E-2</v>
      </c>
      <c r="I3">
        <v>0.38540124041693552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-1.2229219324435686E-3</v>
      </c>
      <c r="L3">
        <f t="shared" ref="L3:L66" si="1">IF(AND(F3=1, K3 &gt; $N$2), 1, 0)</f>
        <v>0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5.0000000000000001E-4</v>
      </c>
      <c r="R3" s="3">
        <v>1000</v>
      </c>
      <c r="S3" s="3">
        <v>256</v>
      </c>
      <c r="T3" s="3">
        <v>1</v>
      </c>
      <c r="U3" s="3">
        <v>0.85748067340507905</v>
      </c>
      <c r="V3" s="3">
        <v>0.11801242236024843</v>
      </c>
      <c r="W3" s="3">
        <v>0.56388202978640178</v>
      </c>
      <c r="X3" s="3" t="str">
        <v>1_512_0.0005_1000_256</v>
      </c>
      <c r="Y3" s="3">
        <v>1.678793256433006E-2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0.78215744974124501</v>
      </c>
      <c r="H4">
        <v>7.4727120067170444E-2</v>
      </c>
      <c r="I4">
        <v>0.38545777542250498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-1.254306695176538E-3</v>
      </c>
      <c r="L4">
        <f t="shared" si="1"/>
        <v>0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0.78253281356724858</v>
      </c>
      <c r="H5">
        <v>7.5981426762346982E-2</v>
      </c>
      <c r="I5">
        <v>0.3804386598723275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-1.3169972321456364E-3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5.0000000000000001E-4</v>
      </c>
      <c r="R5" s="3">
        <v>1000</v>
      </c>
      <c r="S5" s="3">
        <v>256</v>
      </c>
      <c r="T5" s="3">
        <v>1</v>
      </c>
      <c r="U5" s="3">
        <v>0.85748067340507905</v>
      </c>
      <c r="V5" s="3">
        <v>0.11801242236024843</v>
      </c>
      <c r="W5" s="3">
        <v>0.56388202978640178</v>
      </c>
      <c r="X5" s="3" t="str">
        <v>1_512_0.0005_1000_256</v>
      </c>
      <c r="Y5" s="3">
        <v>1.678793256433006E-2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0.7868779575285062</v>
      </c>
      <c r="H6">
        <v>7.5907590759075896E-2</v>
      </c>
      <c r="I6">
        <v>0.39048108458518982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-5.0119625143031643E-4</v>
      </c>
      <c r="L6">
        <f t="shared" si="1"/>
        <v>0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0.78343660966469542</v>
      </c>
      <c r="H7">
        <v>7.6576576576576585E-2</v>
      </c>
      <c r="I7">
        <v>0.39670210924683785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9.9229015191223957E-4</v>
      </c>
      <c r="L7">
        <f t="shared" si="1"/>
        <v>0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0.7816644001255314</v>
      </c>
      <c r="H8">
        <v>7.5584286424664346E-2</v>
      </c>
      <c r="I8">
        <v>0.39811547769575706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9.9229015191223957E-4</v>
      </c>
      <c r="L8">
        <f t="shared" si="1"/>
        <v>0</v>
      </c>
      <c r="M8">
        <f t="shared" si="2"/>
        <v>0</v>
      </c>
      <c r="O8">
        <f>AVERAGEIF(F:F, 1, G:G)</f>
        <v>0.76380142880414281</v>
      </c>
      <c r="Q8">
        <f>AVERAGEIF(F:F, 0, G:G)</f>
        <v>0.75940411308382028</v>
      </c>
      <c r="S8">
        <f>O8-Q8</f>
        <v>4.3973157203225366E-3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0.78477345870074888</v>
      </c>
      <c r="H9">
        <v>7.6408787010506213E-2</v>
      </c>
      <c r="I9">
        <v>0.39379960845927803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-5.0119625143031643E-4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0.80665233010760751</v>
      </c>
      <c r="H10">
        <v>8.640226628895184E-2</v>
      </c>
      <c r="I10">
        <v>0.45342102160259168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7.4734431740822033E-3</v>
      </c>
      <c r="L10">
        <f t="shared" si="1"/>
        <v>1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0.79219595242262841</v>
      </c>
      <c r="H11">
        <v>7.8928823114869637E-2</v>
      </c>
      <c r="I11">
        <v>0.43623963272084998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7.4734431740822033E-3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0.80466764777765065</v>
      </c>
      <c r="Q11">
        <f>(S8)/Q8*100</f>
        <v>0.57904818324801155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0.79054453918798395</v>
      </c>
      <c r="H12">
        <v>7.8720787207872067E-2</v>
      </c>
      <c r="I12">
        <v>0.42074201788221088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-4.5120234073269538E-3</v>
      </c>
      <c r="L12">
        <f t="shared" si="1"/>
        <v>0</v>
      </c>
      <c r="M12">
        <f t="shared" si="2"/>
        <v>1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0.79267939453043601</v>
      </c>
      <c r="H13">
        <v>8.1402629931120851E-2</v>
      </c>
      <c r="I13">
        <v>0.42060174504104925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4.3313389869975294E-3</v>
      </c>
      <c r="L13">
        <f t="shared" si="1"/>
        <v>1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0.79753569553149462</v>
      </c>
      <c r="H14">
        <v>7.7071290944123322E-2</v>
      </c>
      <c r="I14">
        <v>0.38407652505806511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4.3313389869975294E-3</v>
      </c>
      <c r="L14">
        <f t="shared" si="1"/>
        <v>0</v>
      </c>
      <c r="M14">
        <f t="shared" si="2"/>
        <v>0</v>
      </c>
      <c r="O14">
        <f>AVERAGEIF(F:F, 1, H:H)</f>
        <v>7.5177554653449913E-2</v>
      </c>
      <c r="Q14">
        <f>AVERAGEIF(F:F, 0, H:H)</f>
        <v>7.330032929013261E-2</v>
      </c>
      <c r="S14">
        <f>O14-Q14</f>
        <v>1.8772253633173031E-3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0.80128132996590906</v>
      </c>
      <c r="H15">
        <v>8.3232810615199021E-2</v>
      </c>
      <c r="I15">
        <v>0.41329071716386445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-4.5120234073269538E-3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0.77985680793063772</v>
      </c>
      <c r="H16">
        <v>7.3933649289099512E-2</v>
      </c>
      <c r="I16">
        <v>0.39059503893462977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-5.0137191319531288E-3</v>
      </c>
      <c r="L16">
        <f t="shared" si="1"/>
        <v>0</v>
      </c>
      <c r="M16">
        <f t="shared" si="2"/>
        <v>1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0.78544649834778379</v>
      </c>
      <c r="H17">
        <v>7.8947368421052641E-2</v>
      </c>
      <c r="I17">
        <v>0.38996712772213682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-5.0137191319531288E-3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0.68901666274923823</v>
      </c>
      <c r="Q17">
        <f>(S14)/Q14*100</f>
        <v>2.561005361772648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0.79103080444775353</v>
      </c>
      <c r="H18">
        <v>8.018018018018018E-2</v>
      </c>
      <c r="I18">
        <v>0.38550995746437383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7.0320320320320373E-3</v>
      </c>
      <c r="L18">
        <f t="shared" si="1"/>
        <v>1</v>
      </c>
      <c r="M18">
        <f t="shared" si="2"/>
        <v>0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0.79104695739928255</v>
      </c>
      <c r="H19">
        <v>8.0827067669172928E-2</v>
      </c>
      <c r="I19">
        <v>0.39065150460418391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4.6876574815053612E-3</v>
      </c>
      <c r="L19">
        <f t="shared" si="1"/>
        <v>1</v>
      </c>
      <c r="M19">
        <f t="shared" si="2"/>
        <v>0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0.78343737885286346</v>
      </c>
      <c r="H20">
        <v>7.6139410187667567E-2</v>
      </c>
      <c r="I20">
        <v>0.40739898535670066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4.6876574815053612E-3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0.77910608027863071</v>
      </c>
      <c r="H21">
        <v>7.3148148148148143E-2</v>
      </c>
      <c r="I21">
        <v>0.38725529732752817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7.0320320320320373E-3</v>
      </c>
      <c r="L21">
        <f t="shared" si="1"/>
        <v>0</v>
      </c>
      <c r="M21">
        <f t="shared" si="2"/>
        <v>0</v>
      </c>
      <c r="O21">
        <f>O8</f>
        <v>0.76380142880414281</v>
      </c>
      <c r="P21">
        <f>Q8</f>
        <v>0.75940411308382028</v>
      </c>
      <c r="Q21">
        <f>S8</f>
        <v>4.3973157203225366E-3</v>
      </c>
      <c r="R21">
        <f>O11</f>
        <v>0.80466764777765065</v>
      </c>
      <c r="S21">
        <f>Q11</f>
        <v>0.57904818324801155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0.79033094946362936</v>
      </c>
      <c r="H22">
        <v>7.4836295603367645E-2</v>
      </c>
      <c r="I22">
        <v>0.46887658749307903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-6.7239880845756245E-3</v>
      </c>
      <c r="L22">
        <f t="shared" si="1"/>
        <v>0</v>
      </c>
      <c r="M22">
        <f t="shared" si="2"/>
        <v>1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0.79789827711235028</v>
      </c>
      <c r="H23">
        <v>8.1560283687943269E-2</v>
      </c>
      <c r="I23">
        <v>0.40742783887045725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-6.7239880845756245E-3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0.79581864252790213</v>
      </c>
      <c r="H24">
        <v>8.2644628099173542E-2</v>
      </c>
      <c r="I24">
        <v>0.43833311084581883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-1.2882256178528423E-3</v>
      </c>
      <c r="L24">
        <f t="shared" si="1"/>
        <v>0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0.7925616597067674</v>
      </c>
      <c r="H25">
        <v>7.8133478024959305E-2</v>
      </c>
      <c r="I25">
        <v>0.39610322397582387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-6.4277007066230046E-3</v>
      </c>
      <c r="L25">
        <f t="shared" si="1"/>
        <v>0</v>
      </c>
      <c r="M25">
        <f t="shared" si="2"/>
        <v>1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0.80180540621639862</v>
      </c>
      <c r="H26">
        <v>8.4561178731582309E-2</v>
      </c>
      <c r="I26">
        <v>0.41526521225364843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-6.4277007066230046E-3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0.8028650196294167</v>
      </c>
      <c r="H27">
        <v>8.3932853717026384E-2</v>
      </c>
      <c r="I27">
        <v>0.40795369050940689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-1.2882256178528423E-3</v>
      </c>
      <c r="L27">
        <f t="shared" si="1"/>
        <v>0</v>
      </c>
      <c r="M27">
        <f t="shared" si="2"/>
        <v>0</v>
      </c>
      <c r="O27">
        <f>O14</f>
        <v>7.5177554653449913E-2</v>
      </c>
      <c r="P27">
        <f>Q14</f>
        <v>7.330032929013261E-2</v>
      </c>
      <c r="Q27">
        <f>S14</f>
        <v>1.8772253633173031E-3</v>
      </c>
      <c r="R27">
        <f>O17</f>
        <v>0.68901666274923823</v>
      </c>
      <c r="S27">
        <f>Q17</f>
        <v>2.561005361772648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0.68462175240223822</v>
      </c>
      <c r="H28">
        <v>5.6237218813905934E-2</v>
      </c>
      <c r="I28">
        <v>0.33633319638213333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1.8040914136721736E-3</v>
      </c>
      <c r="L28">
        <f t="shared" si="1"/>
        <v>0</v>
      </c>
      <c r="M28">
        <f t="shared" si="2"/>
        <v>0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0.67613762258916021</v>
      </c>
      <c r="H29">
        <v>5.4433127400233761E-2</v>
      </c>
      <c r="I29">
        <v>0.34071269494538403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1.8040914136721736E-3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0.68587697525783975</v>
      </c>
      <c r="H30">
        <v>5.570245020271461E-2</v>
      </c>
      <c r="I30">
        <v>0.4237551108306768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2.8877759459151262E-3</v>
      </c>
      <c r="L30">
        <f t="shared" si="1"/>
        <v>1</v>
      </c>
      <c r="M30">
        <f t="shared" si="2"/>
        <v>0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0.67310119265524737</v>
      </c>
      <c r="H31">
        <v>5.2814674256799483E-2</v>
      </c>
      <c r="I31">
        <v>0.33547522188449397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2.8877759459151262E-3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0.69974811355680822</v>
      </c>
      <c r="H32">
        <v>5.4303657185075738E-2</v>
      </c>
      <c r="I32">
        <v>0.34601949976415047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-4.0860303177163437E-4</v>
      </c>
      <c r="L32">
        <f t="shared" si="1"/>
        <v>0</v>
      </c>
      <c r="M32">
        <f t="shared" si="2"/>
        <v>0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0.70111691039906876</v>
      </c>
      <c r="H33">
        <v>5.4712260216847372E-2</v>
      </c>
      <c r="I33">
        <v>0.33395826086706043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-4.0860303177163437E-4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0.75350005658804919</v>
      </c>
      <c r="H34">
        <v>6.8725868725868722E-2</v>
      </c>
      <c r="I34">
        <v>0.45773256494074449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5.1193113488195302E-3</v>
      </c>
      <c r="L34">
        <f t="shared" si="1"/>
        <v>1</v>
      </c>
      <c r="M34">
        <f t="shared" si="2"/>
        <v>0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0.73714679625901547</v>
      </c>
      <c r="H35">
        <v>6.3606557377049192E-2</v>
      </c>
      <c r="I35">
        <v>0.37586282832281931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5.1193113488195302E-3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0.77412142766503989</v>
      </c>
      <c r="H36">
        <v>7.5406433759944672E-2</v>
      </c>
      <c r="I36">
        <v>0.47614595719746183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1.4068143797119403E-2</v>
      </c>
      <c r="L36">
        <f t="shared" si="1"/>
        <v>1</v>
      </c>
      <c r="M36">
        <f t="shared" si="2"/>
        <v>0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0.72741982502289237</v>
      </c>
      <c r="H37">
        <v>6.1338289962825268E-2</v>
      </c>
      <c r="I37">
        <v>0.38445825236184256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1.4068143797119403E-2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0.77522565706973223</v>
      </c>
      <c r="H38">
        <v>7.2659524918490911E-2</v>
      </c>
      <c r="I38">
        <v>0.4770466527160333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6.1750076143014809E-3</v>
      </c>
      <c r="L38">
        <f t="shared" si="1"/>
        <v>1</v>
      </c>
      <c r="M38">
        <f t="shared" si="2"/>
        <v>0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0.76026584521358775</v>
      </c>
      <c r="H39">
        <v>6.6484517304189431E-2</v>
      </c>
      <c r="I39">
        <v>0.40379770738737925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6.1750076143014809E-3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0.55928201525140719</v>
      </c>
      <c r="H40">
        <v>3.4482758620689655E-2</v>
      </c>
      <c r="I40">
        <v>0.22261835197556989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3.5859990125509944E-3</v>
      </c>
      <c r="L40">
        <f t="shared" si="1"/>
        <v>1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0.54610091905819202</v>
      </c>
      <c r="H41">
        <v>3.089675960813866E-2</v>
      </c>
      <c r="I41">
        <v>0.29402131834352507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3.5859990125509944E-3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0.57443878629946266</v>
      </c>
      <c r="H42">
        <v>2.7702702702702701E-2</v>
      </c>
      <c r="I42">
        <v>0.25701933882522338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1.2648548362834064E-3</v>
      </c>
      <c r="L42">
        <f t="shared" si="1"/>
        <v>0</v>
      </c>
      <c r="M42">
        <f t="shared" si="2"/>
        <v>0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0.57220022850291019</v>
      </c>
      <c r="H43">
        <v>2.6437847866419294E-2</v>
      </c>
      <c r="I43">
        <v>0.24975849421960966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1.2648548362834064E-3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0.78361352294334463</v>
      </c>
      <c r="H44">
        <v>7.5926753014738724E-2</v>
      </c>
      <c r="I44">
        <v>0.38626814740044729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1.375441463887378E-3</v>
      </c>
      <c r="L44">
        <f t="shared" si="1"/>
        <v>0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0.78357583272311071</v>
      </c>
      <c r="H45">
        <v>7.4551311550851346E-2</v>
      </c>
      <c r="I45">
        <v>0.38798036745616371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1.375441463887378E-3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0.78293740654363753</v>
      </c>
      <c r="H46">
        <v>7.4840764331210188E-2</v>
      </c>
      <c r="I46">
        <v>0.37148720026016235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1.1975511238437875E-4</v>
      </c>
      <c r="L46">
        <f t="shared" si="1"/>
        <v>0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0.78386889341513388</v>
      </c>
      <c r="H47">
        <v>7.5541225241824037E-2</v>
      </c>
      <c r="I47">
        <v>0.38871084853094451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-3.173088432605331E-4</v>
      </c>
      <c r="L47">
        <f t="shared" si="1"/>
        <v>0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0.78458885354041918</v>
      </c>
      <c r="H48">
        <v>7.585853408508457E-2</v>
      </c>
      <c r="I48">
        <v>0.40244432918879447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-3.173088432605331E-4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0.77828074137432379</v>
      </c>
      <c r="H49">
        <v>7.472100921882581E-2</v>
      </c>
      <c r="I49">
        <v>0.39600745755798961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1.1975511238437875E-4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0.78902857309561325</v>
      </c>
      <c r="H50">
        <v>7.837445573294631E-2</v>
      </c>
      <c r="I50">
        <v>0.44202008356853406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-3.3535069056993411E-3</v>
      </c>
      <c r="L50">
        <f t="shared" si="1"/>
        <v>0</v>
      </c>
      <c r="M50">
        <f t="shared" si="2"/>
        <v>1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0.79614371566935893</v>
      </c>
      <c r="H51">
        <v>8.1727962638645651E-2</v>
      </c>
      <c r="I51">
        <v>0.4074956494934705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-3.3535069056993411E-3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0.79150413009593823</v>
      </c>
      <c r="H52">
        <v>7.9108635097493024E-2</v>
      </c>
      <c r="I52">
        <v>0.40322413006607366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-1.0465038811753591E-3</v>
      </c>
      <c r="L52">
        <f t="shared" si="1"/>
        <v>0</v>
      </c>
      <c r="M52">
        <f t="shared" si="2"/>
        <v>0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0.79533415851900013</v>
      </c>
      <c r="H53">
        <v>8.1280788177339899E-2</v>
      </c>
      <c r="I53">
        <v>0.41497421507932702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-1.299856983950437E-3</v>
      </c>
      <c r="L53">
        <f t="shared" si="1"/>
        <v>0</v>
      </c>
      <c r="M53">
        <f t="shared" si="2"/>
        <v>0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0.80127716236153135</v>
      </c>
      <c r="H54">
        <v>8.2580645161290336E-2</v>
      </c>
      <c r="I54">
        <v>0.41934238647928046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-1.299856983950437E-3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0.79866720012002701</v>
      </c>
      <c r="H55">
        <v>8.0155138978668383E-2</v>
      </c>
      <c r="I55">
        <v>0.41660184519631521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-1.0465038811753591E-3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0.79357751899948759</v>
      </c>
      <c r="H56">
        <v>8.0624187256176844E-2</v>
      </c>
      <c r="I56">
        <v>0.57174121482031692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-6.7351774029892619E-3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0.81364964617884061</v>
      </c>
      <c r="H57">
        <v>8.7359364659166105E-2</v>
      </c>
      <c r="I57">
        <v>0.4318784791596082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-6.7351774029892619E-3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0.85748067340507905</v>
      </c>
      <c r="H58">
        <v>0.11801242236024843</v>
      </c>
      <c r="I58">
        <v>0.56388202978640178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1.678793256433006E-2</v>
      </c>
      <c r="L58">
        <f t="shared" si="1"/>
        <v>1</v>
      </c>
      <c r="M58">
        <f t="shared" si="2"/>
        <v>0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0.83422197507441698</v>
      </c>
      <c r="H59">
        <v>0.10122448979591837</v>
      </c>
      <c r="I59">
        <v>0.43534938778196064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1.678793256433006E-2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0.85063595128280622</v>
      </c>
      <c r="H60">
        <v>0.1149425287356322</v>
      </c>
      <c r="I60">
        <v>0.602885652561577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1.2378426171529636E-2</v>
      </c>
      <c r="L60">
        <f t="shared" si="1"/>
        <v>1</v>
      </c>
      <c r="M60">
        <f t="shared" si="2"/>
        <v>0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0.84458310163226591</v>
      </c>
      <c r="H61">
        <v>0.10917030567685589</v>
      </c>
      <c r="I61">
        <v>0.5107690625044764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5.0036390101892148E-3</v>
      </c>
      <c r="L61">
        <f t="shared" si="1"/>
        <v>1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0.83601016213622936</v>
      </c>
      <c r="H62">
        <v>0.10416666666666667</v>
      </c>
      <c r="I62">
        <v>0.46512315467912324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5.0036390101892148E-3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0.83850163008515699</v>
      </c>
      <c r="H63">
        <v>0.10256410256410256</v>
      </c>
      <c r="I63">
        <v>0.44184515001822489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1.2378426171529636E-2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0.84312747374963215</v>
      </c>
      <c r="H64">
        <v>0.10878661087866109</v>
      </c>
      <c r="I64">
        <v>0.49704420262453508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7.6973324153030431E-4</v>
      </c>
      <c r="L64">
        <f t="shared" si="1"/>
        <v>0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0.84300071963625667</v>
      </c>
      <c r="H65">
        <v>0.10801687763713079</v>
      </c>
      <c r="I65">
        <v>0.43430449889630685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7.6973324153030431E-4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0.62437607139868134</v>
      </c>
      <c r="H66">
        <v>4.8203592814371254E-2</v>
      </c>
      <c r="I66">
        <v>0.30796757036325884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4.9191789187740045E-3</v>
      </c>
      <c r="L66">
        <f t="shared" si="1"/>
        <v>1</v>
      </c>
      <c r="M66">
        <f t="shared" si="2"/>
        <v>0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0.63014913865016797</v>
      </c>
      <c r="H67">
        <v>4.328441389559725E-2</v>
      </c>
      <c r="I67">
        <v>0.25476302533429496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4.9191789187740045E-3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0.63882874891631225</v>
      </c>
      <c r="H68">
        <v>4.7466324567030149E-2</v>
      </c>
      <c r="I68">
        <v>0.33938181096193742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9.8667660223367148E-4</v>
      </c>
      <c r="L68">
        <f t="shared" si="4"/>
        <v>0</v>
      </c>
      <c r="M68">
        <f t="shared" si="5"/>
        <v>0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0.63823730376514698</v>
      </c>
      <c r="H69">
        <v>4.6479647964796478E-2</v>
      </c>
      <c r="I69">
        <v>0.30319653785958584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9.8667660223367148E-4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13</v>
      </c>
      <c r="M70">
        <f>SUM(M2:M69)</f>
        <v>6</v>
      </c>
      <c r="N70">
        <f>68-L70-M70</f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1E4A-9C58-4723-9C7F-C01D8D334F0B}">
  <dimension ref="A1:Y70"/>
  <sheetViews>
    <sheetView workbookViewId="0">
      <selection activeCell="O26" sqref="O26"/>
    </sheetView>
  </sheetViews>
  <sheetFormatPr defaultRowHeight="14.5" x14ac:dyDescent="0.35"/>
  <cols>
    <col min="1" max="1" width="18" bestFit="1" customWidth="1"/>
    <col min="2" max="2" width="11.54296875" bestFit="1" customWidth="1"/>
    <col min="3" max="3" width="13.54296875" bestFit="1" customWidth="1"/>
    <col min="4" max="4" width="9.1796875" bestFit="1" customWidth="1"/>
    <col min="5" max="5" width="14.453125" bestFit="1" customWidth="1"/>
    <col min="6" max="6" width="6.1796875" bestFit="1" customWidth="1"/>
    <col min="7" max="8" width="11.81640625" bestFit="1" customWidth="1"/>
    <col min="9" max="9" width="18.1796875" bestFit="1" customWidth="1"/>
    <col min="10" max="13" width="25.36328125" customWidth="1"/>
    <col min="14" max="14" width="20.7265625" customWidth="1"/>
    <col min="15" max="23" width="13.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</v>
      </c>
      <c r="L1" t="s">
        <v>22</v>
      </c>
      <c r="M1" t="s">
        <v>23</v>
      </c>
      <c r="N1" s="4" t="s">
        <v>21</v>
      </c>
      <c r="O1" s="5" t="s">
        <v>9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>
        <v>1</v>
      </c>
      <c r="B2">
        <v>1024</v>
      </c>
      <c r="C2">
        <v>1.8000000000000002E-3</v>
      </c>
      <c r="D2">
        <v>1000</v>
      </c>
      <c r="E2">
        <v>192</v>
      </c>
      <c r="F2">
        <v>1</v>
      </c>
      <c r="G2">
        <v>0.85188362226252512</v>
      </c>
      <c r="H2">
        <v>0.1807909604519774</v>
      </c>
      <c r="I2">
        <v>0.43713624075967439</v>
      </c>
      <c r="J2" t="str">
        <f>A2 &amp; "_" &amp; B2 &amp; "_" &amp; C2 &amp; "_" &amp; D2 &amp; "_" &amp; E2</f>
        <v>1_1024_0.0018_1000_192</v>
      </c>
      <c r="K2" cm="1">
        <f t="array" ref="K2">IF(F2=1,
     H2 - _xlfn.XLOOKUP(1, (J:J=J2)*(F:F=0), H:H),
     _xlfn.XLOOKUP(1, (J:J=J2)*(F:F=1), H:H) - H2
)</f>
        <v>1.6233998426660928E-2</v>
      </c>
      <c r="L2">
        <f>IF(AND(F2=1, K2 &gt; $N$2), 1, 0)</f>
        <v>1</v>
      </c>
      <c r="M2">
        <f>IF(AND(F2=1, K2 &lt; -$N$2), 1, 0)</f>
        <v>0</v>
      </c>
      <c r="N2">
        <v>2E-3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7" t="s">
        <v>20</v>
      </c>
      <c r="Y2" s="6"/>
    </row>
    <row r="3" spans="1:25" x14ac:dyDescent="0.35">
      <c r="A3">
        <v>1</v>
      </c>
      <c r="B3">
        <v>1024</v>
      </c>
      <c r="C3">
        <v>1.8000000000000002E-3</v>
      </c>
      <c r="D3">
        <v>1000</v>
      </c>
      <c r="E3">
        <v>192</v>
      </c>
      <c r="F3">
        <v>1</v>
      </c>
      <c r="G3">
        <v>0.85182098916719762</v>
      </c>
      <c r="H3">
        <v>0.18104667609618105</v>
      </c>
      <c r="I3">
        <v>0.43708666946206776</v>
      </c>
      <c r="J3" t="str">
        <f t="shared" ref="J3:J66" si="0">A3 &amp; "_" &amp; B3 &amp; "_" &amp; C3 &amp; "_" &amp; D3 &amp; "_" &amp; E3</f>
        <v>1_1024_0.0018_1000_192</v>
      </c>
      <c r="K3" cm="1">
        <f t="array" ref="K3">IF(F3=1,
     H3 - _xlfn.XLOOKUP(1, (J:J=J3)*(F:F=0), H:H),
     _xlfn.XLOOKUP(1, (J:J=J3)*(F:F=1), H:H) - H3
)</f>
        <v>1.6489714070864581E-2</v>
      </c>
      <c r="L3">
        <f t="shared" ref="L3:L66" si="1">IF(AND(F3=1, K3 &gt; $N$2), 1, 0)</f>
        <v>1</v>
      </c>
      <c r="M3">
        <f t="shared" ref="M3:M66" si="2">IF(AND(F3=1, K3 &lt; -$N$2), 1, 0)</f>
        <v>0</v>
      </c>
      <c r="O3" s="3" cm="1">
        <f t="array" ref="O3:Y3">_xlfn.XLOOKUP(MAX(G:G), G:G, A:A:K:K)</f>
        <v>1</v>
      </c>
      <c r="P3" s="3">
        <v>512</v>
      </c>
      <c r="Q3" s="3">
        <v>2E-3</v>
      </c>
      <c r="R3" s="3">
        <v>1000</v>
      </c>
      <c r="S3" s="3">
        <v>256</v>
      </c>
      <c r="T3" s="3">
        <v>1</v>
      </c>
      <c r="U3" s="3">
        <v>0.90683439367649876</v>
      </c>
      <c r="V3" s="3">
        <v>0.27777777777777779</v>
      </c>
      <c r="W3" s="3">
        <v>0.59534358917450425</v>
      </c>
      <c r="X3" s="3" t="str">
        <v>1_512_0.002_1000_256</v>
      </c>
      <c r="Y3" s="3">
        <v>2.0708369037417851E-2</v>
      </c>
    </row>
    <row r="4" spans="1:25" x14ac:dyDescent="0.35">
      <c r="A4">
        <v>1</v>
      </c>
      <c r="B4">
        <v>1024</v>
      </c>
      <c r="C4">
        <v>1.8000000000000002E-3</v>
      </c>
      <c r="D4">
        <v>1000</v>
      </c>
      <c r="E4">
        <v>192</v>
      </c>
      <c r="F4">
        <v>1</v>
      </c>
      <c r="G4">
        <v>0.85141523563659738</v>
      </c>
      <c r="H4">
        <v>0.18104667609618105</v>
      </c>
      <c r="I4">
        <v>0.43725313519944953</v>
      </c>
      <c r="J4" t="str">
        <f t="shared" si="0"/>
        <v>1_1024_0.0018_1000_192</v>
      </c>
      <c r="K4" cm="1">
        <f t="array" ref="K4">IF(F4=1,
     H4 - _xlfn.XLOOKUP(1, (J:J=J4)*(F:F=0), H:H),
     _xlfn.XLOOKUP(1, (J:J=J4)*(F:F=1), H:H) - H4
)</f>
        <v>1.6489714070864581E-2</v>
      </c>
      <c r="L4">
        <f t="shared" si="1"/>
        <v>1</v>
      </c>
      <c r="M4">
        <f t="shared" si="2"/>
        <v>0</v>
      </c>
      <c r="O4" s="5" t="s">
        <v>10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>
        <v>1</v>
      </c>
      <c r="B5">
        <v>1024</v>
      </c>
      <c r="C5">
        <v>1.8000000000000002E-3</v>
      </c>
      <c r="D5">
        <v>1000</v>
      </c>
      <c r="E5">
        <v>192</v>
      </c>
      <c r="F5">
        <v>0</v>
      </c>
      <c r="G5">
        <v>0.83583865714643613</v>
      </c>
      <c r="H5">
        <v>0.16455696202531647</v>
      </c>
      <c r="I5">
        <v>0.40803759438650949</v>
      </c>
      <c r="J5" t="str">
        <f t="shared" si="0"/>
        <v>1_1024_0.0018_1000_192</v>
      </c>
      <c r="K5" cm="1">
        <f t="array" ref="K5">IF(F5=1,
     H5 - _xlfn.XLOOKUP(1, (J:J=J5)*(F:F=0), H:H),
     _xlfn.XLOOKUP(1, (J:J=J5)*(F:F=1), H:H) - H5
)</f>
        <v>1.6233998426660928E-2</v>
      </c>
      <c r="L5">
        <f t="shared" si="1"/>
        <v>0</v>
      </c>
      <c r="M5">
        <f t="shared" si="2"/>
        <v>0</v>
      </c>
      <c r="O5" s="3" cm="1">
        <f t="array" ref="O5:Y5">_xlfn.XLOOKUP(MAX(H:H), H:H, A:A:K:K)</f>
        <v>1</v>
      </c>
      <c r="P5" s="3">
        <v>512</v>
      </c>
      <c r="Q5" s="3">
        <v>2E-3</v>
      </c>
      <c r="R5" s="3">
        <v>1000</v>
      </c>
      <c r="S5" s="3">
        <v>256</v>
      </c>
      <c r="T5" s="3">
        <v>1</v>
      </c>
      <c r="U5" s="3">
        <v>0.90683439367649876</v>
      </c>
      <c r="V5" s="3">
        <v>0.27777777777777779</v>
      </c>
      <c r="W5" s="3">
        <v>0.59534358917450425</v>
      </c>
      <c r="X5" s="3" t="str">
        <v>1_512_0.002_1000_256</v>
      </c>
      <c r="Y5" s="3">
        <v>2.0708369037417851E-2</v>
      </c>
    </row>
    <row r="6" spans="1:25" x14ac:dyDescent="0.35">
      <c r="A6">
        <v>1</v>
      </c>
      <c r="B6">
        <v>1024</v>
      </c>
      <c r="C6">
        <v>2E-3</v>
      </c>
      <c r="D6">
        <v>1000</v>
      </c>
      <c r="E6">
        <v>192</v>
      </c>
      <c r="F6">
        <v>1</v>
      </c>
      <c r="G6">
        <v>0.86217723532070878</v>
      </c>
      <c r="H6">
        <v>0.18384401114206128</v>
      </c>
      <c r="I6">
        <v>0.44426790640062219</v>
      </c>
      <c r="J6" t="str">
        <f t="shared" si="0"/>
        <v>1_1024_0.002_1000_192</v>
      </c>
      <c r="K6" cm="1">
        <f t="array" ref="K6">IF(F6=1,
     H6 - _xlfn.XLOOKUP(1, (J:J=J6)*(F:F=0), H:H),
     _xlfn.XLOOKUP(1, (J:J=J6)*(F:F=1), H:H) - H6
)</f>
        <v>1.1581237419433538E-2</v>
      </c>
      <c r="L6">
        <f t="shared" si="1"/>
        <v>1</v>
      </c>
      <c r="M6">
        <f t="shared" si="2"/>
        <v>0</v>
      </c>
    </row>
    <row r="7" spans="1:25" x14ac:dyDescent="0.35">
      <c r="A7">
        <v>1</v>
      </c>
      <c r="B7">
        <v>1024</v>
      </c>
      <c r="C7">
        <v>2.5000000000000001E-3</v>
      </c>
      <c r="D7">
        <v>1000</v>
      </c>
      <c r="E7">
        <v>192</v>
      </c>
      <c r="F7">
        <v>1</v>
      </c>
      <c r="G7">
        <v>0.85691060895707727</v>
      </c>
      <c r="H7">
        <v>0.17928902627511592</v>
      </c>
      <c r="I7">
        <v>0.4645039451365568</v>
      </c>
      <c r="J7" t="str">
        <f t="shared" si="0"/>
        <v>1_1024_0.0025_1000_192</v>
      </c>
      <c r="K7" cm="1">
        <f t="array" ref="K7">IF(F7=1,
     H7 - _xlfn.XLOOKUP(1, (J:J=J7)*(F:F=0), H:H),
     _xlfn.XLOOKUP(1, (J:J=J7)*(F:F=1), H:H) - H7
)</f>
        <v>7.5438739205452854E-3</v>
      </c>
      <c r="L7">
        <f t="shared" si="1"/>
        <v>1</v>
      </c>
      <c r="M7">
        <f t="shared" si="2"/>
        <v>0</v>
      </c>
      <c r="O7" t="s">
        <v>11</v>
      </c>
      <c r="Q7" t="s">
        <v>12</v>
      </c>
      <c r="S7" t="s">
        <v>16</v>
      </c>
    </row>
    <row r="8" spans="1:25" x14ac:dyDescent="0.35">
      <c r="A8">
        <v>1</v>
      </c>
      <c r="B8">
        <v>1024</v>
      </c>
      <c r="C8">
        <v>2.5000000000000001E-3</v>
      </c>
      <c r="D8">
        <v>1000</v>
      </c>
      <c r="E8">
        <v>192</v>
      </c>
      <c r="F8">
        <v>0</v>
      </c>
      <c r="G8">
        <v>0.84184871111982529</v>
      </c>
      <c r="H8">
        <v>0.17174515235457063</v>
      </c>
      <c r="I8">
        <v>0.42326231635346701</v>
      </c>
      <c r="J8" t="str">
        <f t="shared" si="0"/>
        <v>1_1024_0.0025_1000_192</v>
      </c>
      <c r="K8" cm="1">
        <f t="array" ref="K8">IF(F8=1,
     H8 - _xlfn.XLOOKUP(1, (J:J=J8)*(F:F=0), H:H),
     _xlfn.XLOOKUP(1, (J:J=J8)*(F:F=1), H:H) - H8
)</f>
        <v>7.5438739205452854E-3</v>
      </c>
      <c r="L8">
        <f t="shared" si="1"/>
        <v>0</v>
      </c>
      <c r="M8">
        <f t="shared" si="2"/>
        <v>0</v>
      </c>
      <c r="O8">
        <f>AVERAGEIF(F:F, 1, G:G)</f>
        <v>0.79716841501639124</v>
      </c>
      <c r="Q8">
        <f>AVERAGEIF(F:F, 0, G:G)</f>
        <v>0.78611839385577831</v>
      </c>
      <c r="S8">
        <f>O8-Q8</f>
        <v>1.1050021160612933E-2</v>
      </c>
    </row>
    <row r="9" spans="1:25" x14ac:dyDescent="0.35">
      <c r="A9">
        <v>1</v>
      </c>
      <c r="B9">
        <v>1024</v>
      </c>
      <c r="C9">
        <v>2E-3</v>
      </c>
      <c r="D9">
        <v>1000</v>
      </c>
      <c r="E9">
        <v>192</v>
      </c>
      <c r="F9">
        <v>0</v>
      </c>
      <c r="G9">
        <v>0.84635557080535262</v>
      </c>
      <c r="H9">
        <v>0.17226277372262774</v>
      </c>
      <c r="I9">
        <v>0.43388068645584343</v>
      </c>
      <c r="J9" t="str">
        <f t="shared" si="0"/>
        <v>1_1024_0.002_1000_192</v>
      </c>
      <c r="K9" cm="1">
        <f t="array" ref="K9">IF(F9=1,
     H9 - _xlfn.XLOOKUP(1, (J:J=J9)*(F:F=0), H:H),
     _xlfn.XLOOKUP(1, (J:J=J9)*(F:F=1), H:H) - H9
)</f>
        <v>1.1581237419433538E-2</v>
      </c>
      <c r="L9">
        <f t="shared" si="1"/>
        <v>0</v>
      </c>
      <c r="M9">
        <f t="shared" si="2"/>
        <v>0</v>
      </c>
    </row>
    <row r="10" spans="1:25" x14ac:dyDescent="0.35">
      <c r="A10">
        <v>1</v>
      </c>
      <c r="B10">
        <v>1024</v>
      </c>
      <c r="C10">
        <v>1.8000000000000002E-3</v>
      </c>
      <c r="D10">
        <v>1000</v>
      </c>
      <c r="E10">
        <v>224</v>
      </c>
      <c r="F10">
        <v>1</v>
      </c>
      <c r="G10">
        <v>0.84548611111111105</v>
      </c>
      <c r="H10">
        <v>0.16897081413210449</v>
      </c>
      <c r="I10">
        <v>0.44860764425628041</v>
      </c>
      <c r="J10" t="str">
        <f t="shared" si="0"/>
        <v>1_1024_0.0018_1000_224</v>
      </c>
      <c r="K10" cm="1">
        <f t="array" ref="K10">IF(F10=1,
     H10 - _xlfn.XLOOKUP(1, (J:J=J10)*(F:F=0), H:H),
     _xlfn.XLOOKUP(1, (J:J=J10)*(F:F=1), H:H) - H10
)</f>
        <v>3.2731397134998508E-3</v>
      </c>
      <c r="L10">
        <f t="shared" si="1"/>
        <v>1</v>
      </c>
      <c r="M10">
        <f t="shared" si="2"/>
        <v>0</v>
      </c>
      <c r="O10" t="s">
        <v>18</v>
      </c>
      <c r="Q10" t="s">
        <v>19</v>
      </c>
    </row>
    <row r="11" spans="1:25" x14ac:dyDescent="0.35">
      <c r="A11">
        <v>1</v>
      </c>
      <c r="B11">
        <v>1024</v>
      </c>
      <c r="C11">
        <v>1.8000000000000002E-3</v>
      </c>
      <c r="D11">
        <v>1000</v>
      </c>
      <c r="E11">
        <v>224</v>
      </c>
      <c r="F11">
        <v>0</v>
      </c>
      <c r="G11">
        <v>0.82249634502923985</v>
      </c>
      <c r="H11">
        <v>0.16569767441860464</v>
      </c>
      <c r="I11">
        <v>0.41264082704271587</v>
      </c>
      <c r="J11" t="str">
        <f t="shared" si="0"/>
        <v>1_1024_0.0018_1000_224</v>
      </c>
      <c r="K11" cm="1">
        <f t="array" ref="K11">IF(F11=1,
     H11 - _xlfn.XLOOKUP(1, (J:J=J11)*(F:F=0), H:H),
     _xlfn.XLOOKUP(1, (J:J=J11)*(F:F=1), H:H) - H11
)</f>
        <v>3.2731397134998508E-3</v>
      </c>
      <c r="L11">
        <f t="shared" si="1"/>
        <v>0</v>
      </c>
      <c r="M11">
        <f t="shared" si="2"/>
        <v>0</v>
      </c>
      <c r="O11" cm="1">
        <f t="array" ref="O11">_xlfn.T.TEST(_xlfn._xlws.FILTER(G:G, F:F=1), _xlfn._xlws.FILTER(G:G, F:F=0), 2, 3)</f>
        <v>0.70284111562890139</v>
      </c>
      <c r="Q11">
        <f>(S8)/Q8*100</f>
        <v>1.405643379798613</v>
      </c>
    </row>
    <row r="12" spans="1:25" x14ac:dyDescent="0.35">
      <c r="A12">
        <v>1</v>
      </c>
      <c r="B12">
        <v>1024</v>
      </c>
      <c r="C12">
        <v>2E-3</v>
      </c>
      <c r="D12">
        <v>1000</v>
      </c>
      <c r="E12">
        <v>224</v>
      </c>
      <c r="F12">
        <v>1</v>
      </c>
      <c r="G12">
        <v>0.83877923976608204</v>
      </c>
      <c r="H12">
        <v>0.17704918032786887</v>
      </c>
      <c r="I12">
        <v>0.44672511061843562</v>
      </c>
      <c r="J12" t="str">
        <f t="shared" si="0"/>
        <v>1_1024_0.002_1000_224</v>
      </c>
      <c r="K12" cm="1">
        <f t="array" ref="K12">IF(F12=1,
     H12 - _xlfn.XLOOKUP(1, (J:J=J12)*(F:F=0), H:H),
     _xlfn.XLOOKUP(1, (J:J=J12)*(F:F=1), H:H) - H12
)</f>
        <v>1.8899446590790459E-3</v>
      </c>
      <c r="L12">
        <f t="shared" si="1"/>
        <v>0</v>
      </c>
      <c r="M12">
        <f t="shared" si="2"/>
        <v>0</v>
      </c>
    </row>
    <row r="13" spans="1:25" x14ac:dyDescent="0.35">
      <c r="A13">
        <v>1</v>
      </c>
      <c r="B13">
        <v>1024</v>
      </c>
      <c r="C13">
        <v>2.5000000000000001E-3</v>
      </c>
      <c r="D13">
        <v>1000</v>
      </c>
      <c r="E13">
        <v>224</v>
      </c>
      <c r="F13">
        <v>1</v>
      </c>
      <c r="G13">
        <v>0.83723684210526328</v>
      </c>
      <c r="H13">
        <v>0.17812500000000003</v>
      </c>
      <c r="I13">
        <v>0.43253400739358394</v>
      </c>
      <c r="J13" t="str">
        <f t="shared" si="0"/>
        <v>1_1024_0.0025_1000_224</v>
      </c>
      <c r="K13" cm="1">
        <f t="array" ref="K13">IF(F13=1,
     H13 - _xlfn.XLOOKUP(1, (J:J=J13)*(F:F=0), H:H),
     _xlfn.XLOOKUP(1, (J:J=J13)*(F:F=1), H:H) - H13
)</f>
        <v>7.3175465838509757E-3</v>
      </c>
      <c r="L13">
        <f t="shared" si="1"/>
        <v>1</v>
      </c>
      <c r="M13">
        <f t="shared" si="2"/>
        <v>0</v>
      </c>
      <c r="O13" t="s">
        <v>13</v>
      </c>
      <c r="Q13" t="s">
        <v>14</v>
      </c>
      <c r="S13" t="s">
        <v>15</v>
      </c>
    </row>
    <row r="14" spans="1:25" x14ac:dyDescent="0.35">
      <c r="A14">
        <v>1</v>
      </c>
      <c r="B14">
        <v>1024</v>
      </c>
      <c r="C14">
        <v>2.5000000000000001E-3</v>
      </c>
      <c r="D14">
        <v>1000</v>
      </c>
      <c r="E14">
        <v>224</v>
      </c>
      <c r="F14">
        <v>0</v>
      </c>
      <c r="G14">
        <v>0.83464546783625726</v>
      </c>
      <c r="H14">
        <v>0.17080745341614906</v>
      </c>
      <c r="I14">
        <v>0.42844081776482718</v>
      </c>
      <c r="J14" t="str">
        <f t="shared" si="0"/>
        <v>1_1024_0.0025_1000_224</v>
      </c>
      <c r="K14" cm="1">
        <f t="array" ref="K14">IF(F14=1,
     H14 - _xlfn.XLOOKUP(1, (J:J=J14)*(F:F=0), H:H),
     _xlfn.XLOOKUP(1, (J:J=J14)*(F:F=1), H:H) - H14
)</f>
        <v>7.3175465838509757E-3</v>
      </c>
      <c r="L14">
        <f t="shared" si="1"/>
        <v>0</v>
      </c>
      <c r="M14">
        <f t="shared" si="2"/>
        <v>0</v>
      </c>
      <c r="O14">
        <f>AVERAGEIF(F:F, 1, H:H)</f>
        <v>0.16207982447094804</v>
      </c>
      <c r="Q14">
        <f>AVERAGEIF(F:F, 0, H:H)</f>
        <v>0.15560588676715262</v>
      </c>
      <c r="S14">
        <f>O14-Q14</f>
        <v>6.4739377037954238E-3</v>
      </c>
    </row>
    <row r="15" spans="1:25" x14ac:dyDescent="0.35">
      <c r="A15">
        <v>1</v>
      </c>
      <c r="B15">
        <v>1024</v>
      </c>
      <c r="C15">
        <v>2E-3</v>
      </c>
      <c r="D15">
        <v>1000</v>
      </c>
      <c r="E15">
        <v>224</v>
      </c>
      <c r="F15">
        <v>0</v>
      </c>
      <c r="G15">
        <v>0.83431652046783633</v>
      </c>
      <c r="H15">
        <v>0.17515923566878983</v>
      </c>
      <c r="I15">
        <v>0.43494141588405688</v>
      </c>
      <c r="J15" t="str">
        <f t="shared" si="0"/>
        <v>1_1024_0.002_1000_224</v>
      </c>
      <c r="K15" cm="1">
        <f t="array" ref="K15">IF(F15=1,
     H15 - _xlfn.XLOOKUP(1, (J:J=J15)*(F:F=0), H:H),
     _xlfn.XLOOKUP(1, (J:J=J15)*(F:F=1), H:H) - H15
)</f>
        <v>1.8899446590790459E-3</v>
      </c>
      <c r="L15">
        <f t="shared" si="1"/>
        <v>0</v>
      </c>
      <c r="M15">
        <f t="shared" si="2"/>
        <v>0</v>
      </c>
    </row>
    <row r="16" spans="1:25" x14ac:dyDescent="0.35">
      <c r="A16">
        <v>1</v>
      </c>
      <c r="B16">
        <v>256</v>
      </c>
      <c r="C16">
        <v>1.8000000000000002E-3</v>
      </c>
      <c r="D16">
        <v>1000</v>
      </c>
      <c r="E16">
        <v>192</v>
      </c>
      <c r="F16">
        <v>1</v>
      </c>
      <c r="G16">
        <v>0.85515143593178977</v>
      </c>
      <c r="H16">
        <v>0.17721518987341772</v>
      </c>
      <c r="I16">
        <v>0.45286620636375585</v>
      </c>
      <c r="J16" t="str">
        <f t="shared" si="0"/>
        <v>1_256_0.0018_1000_192</v>
      </c>
      <c r="K16" cm="1">
        <f t="array" ref="K16">IF(F16=1,
     H16 - _xlfn.XLOOKUP(1, (J:J=J16)*(F:F=0), H:H),
     _xlfn.XLOOKUP(1, (J:J=J16)*(F:F=1), H:H) - H16
)</f>
        <v>3.4260160842439213E-3</v>
      </c>
      <c r="L16">
        <f t="shared" si="1"/>
        <v>1</v>
      </c>
      <c r="M16">
        <f t="shared" si="2"/>
        <v>0</v>
      </c>
      <c r="O16" t="s">
        <v>17</v>
      </c>
      <c r="Q16" t="s">
        <v>19</v>
      </c>
    </row>
    <row r="17" spans="1:19" x14ac:dyDescent="0.35">
      <c r="A17">
        <v>1</v>
      </c>
      <c r="B17">
        <v>256</v>
      </c>
      <c r="C17">
        <v>1.8000000000000002E-3</v>
      </c>
      <c r="D17">
        <v>1000</v>
      </c>
      <c r="E17">
        <v>192</v>
      </c>
      <c r="F17">
        <v>0</v>
      </c>
      <c r="G17">
        <v>0.84062872734996652</v>
      </c>
      <c r="H17">
        <v>0.1737891737891738</v>
      </c>
      <c r="I17">
        <v>0.42532825469970703</v>
      </c>
      <c r="J17" t="str">
        <f t="shared" si="0"/>
        <v>1_256_0.0018_1000_192</v>
      </c>
      <c r="K17" cm="1">
        <f t="array" ref="K17">IF(F17=1,
     H17 - _xlfn.XLOOKUP(1, (J:J=J17)*(F:F=0), H:H),
     _xlfn.XLOOKUP(1, (J:J=J17)*(F:F=1), H:H) - H17
)</f>
        <v>3.4260160842439213E-3</v>
      </c>
      <c r="L17">
        <f t="shared" si="1"/>
        <v>0</v>
      </c>
      <c r="M17">
        <f t="shared" si="2"/>
        <v>0</v>
      </c>
      <c r="O17" cm="1">
        <f t="array" ref="O17">_xlfn.T.TEST(_xlfn._xlws.FILTER(H:H, F:F=1), _xlfn._xlws.FILTER(H:H, F:F=0), 2, 3)</f>
        <v>0.64439001883757796</v>
      </c>
      <c r="Q17">
        <f>(S14)/Q14*100</f>
        <v>4.160470942518371</v>
      </c>
    </row>
    <row r="18" spans="1:19" x14ac:dyDescent="0.35">
      <c r="A18">
        <v>1</v>
      </c>
      <c r="B18">
        <v>256</v>
      </c>
      <c r="C18">
        <v>2E-3</v>
      </c>
      <c r="D18">
        <v>1000</v>
      </c>
      <c r="E18">
        <v>192</v>
      </c>
      <c r="F18">
        <v>1</v>
      </c>
      <c r="G18">
        <v>0.85582133773398905</v>
      </c>
      <c r="H18">
        <v>0.1837037037037037</v>
      </c>
      <c r="I18">
        <v>0.44218253815660669</v>
      </c>
      <c r="J18" t="str">
        <f t="shared" si="0"/>
        <v>1_256_0.002_1000_192</v>
      </c>
      <c r="K18" cm="1">
        <f t="array" ref="K18">IF(F18=1,
     H18 - _xlfn.XLOOKUP(1, (J:J=J18)*(F:F=0), H:H),
     _xlfn.XLOOKUP(1, (J:J=J18)*(F:F=1), H:H) - H18
)</f>
        <v>1.1289910600255443E-2</v>
      </c>
      <c r="L18">
        <f t="shared" si="1"/>
        <v>1</v>
      </c>
      <c r="M18">
        <f t="shared" si="2"/>
        <v>0</v>
      </c>
    </row>
    <row r="19" spans="1:19" x14ac:dyDescent="0.35">
      <c r="A19">
        <v>1</v>
      </c>
      <c r="B19">
        <v>256</v>
      </c>
      <c r="C19">
        <v>2.5000000000000001E-3</v>
      </c>
      <c r="D19">
        <v>1000</v>
      </c>
      <c r="E19">
        <v>192</v>
      </c>
      <c r="F19">
        <v>1</v>
      </c>
      <c r="G19">
        <v>0.84418792107140717</v>
      </c>
      <c r="H19">
        <v>0.1725067385444744</v>
      </c>
      <c r="I19">
        <v>0.41383914010865347</v>
      </c>
      <c r="J19" t="str">
        <f t="shared" si="0"/>
        <v>1_256_0.0025_1000_192</v>
      </c>
      <c r="K19" cm="1">
        <f t="array" ref="K19">IF(F19=1,
     H19 - _xlfn.XLOOKUP(1, (J:J=J19)*(F:F=0), H:H),
     _xlfn.XLOOKUP(1, (J:J=J19)*(F:F=1), H:H) - H19
)</f>
        <v>-2.308076270340409E-3</v>
      </c>
      <c r="L19">
        <f t="shared" si="1"/>
        <v>0</v>
      </c>
      <c r="M19">
        <f t="shared" si="2"/>
        <v>1</v>
      </c>
    </row>
    <row r="20" spans="1:19" x14ac:dyDescent="0.35">
      <c r="A20">
        <v>1</v>
      </c>
      <c r="B20">
        <v>256</v>
      </c>
      <c r="C20">
        <v>2.5000000000000001E-3</v>
      </c>
      <c r="D20">
        <v>1000</v>
      </c>
      <c r="E20">
        <v>192</v>
      </c>
      <c r="F20">
        <v>0</v>
      </c>
      <c r="G20">
        <v>0.8433056113807057</v>
      </c>
      <c r="H20">
        <v>0.17481481481481481</v>
      </c>
      <c r="I20">
        <v>0.4368898829027098</v>
      </c>
      <c r="J20" t="str">
        <f t="shared" si="0"/>
        <v>1_256_0.0025_1000_192</v>
      </c>
      <c r="K20" cm="1">
        <f t="array" ref="K20">IF(F20=1,
     H20 - _xlfn.XLOOKUP(1, (J:J=J20)*(F:F=0), H:H),
     _xlfn.XLOOKUP(1, (J:J=J20)*(F:F=1), H:H) - H20
)</f>
        <v>-2.308076270340409E-3</v>
      </c>
      <c r="L20">
        <f t="shared" si="1"/>
        <v>0</v>
      </c>
      <c r="M20">
        <f t="shared" si="2"/>
        <v>0</v>
      </c>
      <c r="O20" s="2" t="str">
        <f>O7</f>
        <v>Average AUC with BFW</v>
      </c>
      <c r="P20" s="2" t="str">
        <f>Q7</f>
        <v>Average AUC without BFW</v>
      </c>
      <c r="Q20" s="2" t="str">
        <f>S7</f>
        <v>Difference in AUC mean with BFW - without BFW</v>
      </c>
      <c r="R20" s="2" t="str">
        <f>O10</f>
        <v>AUC Mean T Test p-value</v>
      </c>
      <c r="S20" s="2" t="str">
        <f>Q10</f>
        <v>Percent Improvement in AUC mean with BFW</v>
      </c>
    </row>
    <row r="21" spans="1:19" x14ac:dyDescent="0.35">
      <c r="A21">
        <v>1</v>
      </c>
      <c r="B21">
        <v>256</v>
      </c>
      <c r="C21">
        <v>2E-3</v>
      </c>
      <c r="D21">
        <v>1000</v>
      </c>
      <c r="E21">
        <v>192</v>
      </c>
      <c r="F21">
        <v>0</v>
      </c>
      <c r="G21">
        <v>0.84841701659504709</v>
      </c>
      <c r="H21">
        <v>0.17241379310344826</v>
      </c>
      <c r="I21">
        <v>0.42846235632896423</v>
      </c>
      <c r="J21" t="str">
        <f t="shared" si="0"/>
        <v>1_256_0.002_1000_192</v>
      </c>
      <c r="K21" cm="1">
        <f t="array" ref="K21">IF(F21=1,
     H21 - _xlfn.XLOOKUP(1, (J:J=J21)*(F:F=0), H:H),
     _xlfn.XLOOKUP(1, (J:J=J21)*(F:F=1), H:H) - H21
)</f>
        <v>1.1289910600255443E-2</v>
      </c>
      <c r="L21">
        <f t="shared" si="1"/>
        <v>0</v>
      </c>
      <c r="M21">
        <f t="shared" si="2"/>
        <v>0</v>
      </c>
      <c r="O21">
        <f>O8</f>
        <v>0.79716841501639124</v>
      </c>
      <c r="P21">
        <f>Q8</f>
        <v>0.78611839385577831</v>
      </c>
      <c r="Q21">
        <f>S8</f>
        <v>1.1050021160612933E-2</v>
      </c>
      <c r="R21">
        <f>O11</f>
        <v>0.70284111562890139</v>
      </c>
      <c r="S21">
        <f>Q11</f>
        <v>1.405643379798613</v>
      </c>
    </row>
    <row r="22" spans="1:19" x14ac:dyDescent="0.35">
      <c r="A22">
        <v>1</v>
      </c>
      <c r="B22">
        <v>256</v>
      </c>
      <c r="C22">
        <v>1.8000000000000002E-3</v>
      </c>
      <c r="D22">
        <v>1000</v>
      </c>
      <c r="E22">
        <v>224</v>
      </c>
      <c r="F22">
        <v>1</v>
      </c>
      <c r="G22">
        <v>0.84177266081871349</v>
      </c>
      <c r="H22">
        <v>0.17220543806646527</v>
      </c>
      <c r="I22">
        <v>0.41851252317428589</v>
      </c>
      <c r="J22" t="str">
        <f t="shared" si="0"/>
        <v>1_256_0.0018_1000_224</v>
      </c>
      <c r="K22" cm="1">
        <f t="array" ref="K22">IF(F22=1,
     H22 - _xlfn.XLOOKUP(1, (J:J=J22)*(F:F=0), H:H),
     _xlfn.XLOOKUP(1, (J:J=J22)*(F:F=1), H:H) - H22
)</f>
        <v>-3.8188411444603776E-3</v>
      </c>
      <c r="L22">
        <f t="shared" si="1"/>
        <v>0</v>
      </c>
      <c r="M22">
        <f t="shared" si="2"/>
        <v>1</v>
      </c>
    </row>
    <row r="23" spans="1:19" x14ac:dyDescent="0.35">
      <c r="A23">
        <v>1</v>
      </c>
      <c r="B23">
        <v>256</v>
      </c>
      <c r="C23">
        <v>1.8000000000000002E-3</v>
      </c>
      <c r="D23">
        <v>1000</v>
      </c>
      <c r="E23">
        <v>224</v>
      </c>
      <c r="F23">
        <v>0</v>
      </c>
      <c r="G23">
        <v>0.83687865497076031</v>
      </c>
      <c r="H23">
        <v>0.17602427921092564</v>
      </c>
      <c r="I23">
        <v>0.42496740148991952</v>
      </c>
      <c r="J23" t="str">
        <f t="shared" si="0"/>
        <v>1_256_0.0018_1000_224</v>
      </c>
      <c r="K23" cm="1">
        <f t="array" ref="K23">IF(F23=1,
     H23 - _xlfn.XLOOKUP(1, (J:J=J23)*(F:F=0), H:H),
     _xlfn.XLOOKUP(1, (J:J=J23)*(F:F=1), H:H) - H23
)</f>
        <v>-3.8188411444603776E-3</v>
      </c>
      <c r="L23">
        <f t="shared" si="1"/>
        <v>0</v>
      </c>
      <c r="M23">
        <f t="shared" si="2"/>
        <v>0</v>
      </c>
    </row>
    <row r="24" spans="1:19" x14ac:dyDescent="0.35">
      <c r="A24">
        <v>1</v>
      </c>
      <c r="B24">
        <v>256</v>
      </c>
      <c r="C24">
        <v>2E-3</v>
      </c>
      <c r="D24">
        <v>1000</v>
      </c>
      <c r="E24">
        <v>224</v>
      </c>
      <c r="F24">
        <v>1</v>
      </c>
      <c r="G24">
        <v>0.8467836257309943</v>
      </c>
      <c r="H24">
        <v>0.17836812144212524</v>
      </c>
      <c r="I24">
        <v>0.47045980667581366</v>
      </c>
      <c r="J24" t="str">
        <f t="shared" si="0"/>
        <v>1_256_0.002_1000_224</v>
      </c>
      <c r="K24" cm="1">
        <f t="array" ref="K24">IF(F24=1,
     H24 - _xlfn.XLOOKUP(1, (J:J=J24)*(F:F=0), H:H),
     _xlfn.XLOOKUP(1, (J:J=J24)*(F:F=1), H:H) - H24
)</f>
        <v>1.6239353956136182E-3</v>
      </c>
      <c r="L24">
        <f t="shared" si="1"/>
        <v>0</v>
      </c>
      <c r="M24">
        <f t="shared" si="2"/>
        <v>0</v>
      </c>
    </row>
    <row r="25" spans="1:19" x14ac:dyDescent="0.35">
      <c r="A25">
        <v>1</v>
      </c>
      <c r="B25">
        <v>256</v>
      </c>
      <c r="C25">
        <v>2.5000000000000001E-3</v>
      </c>
      <c r="D25">
        <v>1000</v>
      </c>
      <c r="E25">
        <v>224</v>
      </c>
      <c r="F25">
        <v>1</v>
      </c>
      <c r="G25">
        <v>0.83468932748538016</v>
      </c>
      <c r="H25">
        <v>0.17105263157894737</v>
      </c>
      <c r="I25">
        <v>0.44273653079052361</v>
      </c>
      <c r="J25" t="str">
        <f t="shared" si="0"/>
        <v>1_256_0.0025_1000_224</v>
      </c>
      <c r="K25" cm="1">
        <f t="array" ref="K25">IF(F25=1,
     H25 - _xlfn.XLOOKUP(1, (J:J=J25)*(F:F=0), H:H),
     _xlfn.XLOOKUP(1, (J:J=J25)*(F:F=1), H:H) - H25
)</f>
        <v>-5.0271026403217178E-3</v>
      </c>
      <c r="L25">
        <f t="shared" si="1"/>
        <v>0</v>
      </c>
      <c r="M25">
        <f t="shared" si="2"/>
        <v>1</v>
      </c>
    </row>
    <row r="26" spans="1:19" x14ac:dyDescent="0.35">
      <c r="A26">
        <v>1</v>
      </c>
      <c r="B26">
        <v>256</v>
      </c>
      <c r="C26">
        <v>2.5000000000000001E-3</v>
      </c>
      <c r="D26">
        <v>1000</v>
      </c>
      <c r="E26">
        <v>224</v>
      </c>
      <c r="F26">
        <v>0</v>
      </c>
      <c r="G26">
        <v>0.83895833333333347</v>
      </c>
      <c r="H26">
        <v>0.17607973421926909</v>
      </c>
      <c r="I26">
        <v>0.44345752560362528</v>
      </c>
      <c r="J26" t="str">
        <f t="shared" si="0"/>
        <v>1_256_0.0025_1000_224</v>
      </c>
      <c r="K26" cm="1">
        <f t="array" ref="K26">IF(F26=1,
     H26 - _xlfn.XLOOKUP(1, (J:J=J26)*(F:F=0), H:H),
     _xlfn.XLOOKUP(1, (J:J=J26)*(F:F=1), H:H) - H26
)</f>
        <v>-5.0271026403217178E-3</v>
      </c>
      <c r="L26">
        <f t="shared" si="1"/>
        <v>0</v>
      </c>
      <c r="M26">
        <f t="shared" si="2"/>
        <v>0</v>
      </c>
      <c r="O26" s="2" t="str">
        <f>O13</f>
        <v>Average F1 with BFW</v>
      </c>
      <c r="P26" s="2" t="str">
        <f>Q13</f>
        <v>Average F1 without BFW</v>
      </c>
      <c r="Q26" s="2" t="str">
        <f>S13</f>
        <v>Difference in F1 mean with BFW - without BFW</v>
      </c>
      <c r="R26" s="2" t="str">
        <f>O16</f>
        <v>F1 Mean T Test p-value</v>
      </c>
      <c r="S26" s="2" t="str">
        <f>Q16</f>
        <v>Percent Improvement in AUC mean with BFW</v>
      </c>
    </row>
    <row r="27" spans="1:19" x14ac:dyDescent="0.35">
      <c r="A27">
        <v>1</v>
      </c>
      <c r="B27">
        <v>256</v>
      </c>
      <c r="C27">
        <v>2E-3</v>
      </c>
      <c r="D27">
        <v>1000</v>
      </c>
      <c r="E27">
        <v>224</v>
      </c>
      <c r="F27">
        <v>0</v>
      </c>
      <c r="G27">
        <v>0.84527046783625737</v>
      </c>
      <c r="H27">
        <v>0.17674418604651163</v>
      </c>
      <c r="I27">
        <v>0.4254269101181809</v>
      </c>
      <c r="J27" t="str">
        <f t="shared" si="0"/>
        <v>1_256_0.002_1000_224</v>
      </c>
      <c r="K27" cm="1">
        <f t="array" ref="K27">IF(F27=1,
     H27 - _xlfn.XLOOKUP(1, (J:J=J27)*(F:F=0), H:H),
     _xlfn.XLOOKUP(1, (J:J=J27)*(F:F=1), H:H) - H27
)</f>
        <v>1.6239353956136182E-3</v>
      </c>
      <c r="L27">
        <f t="shared" si="1"/>
        <v>0</v>
      </c>
      <c r="M27">
        <f t="shared" si="2"/>
        <v>0</v>
      </c>
      <c r="O27">
        <f>O14</f>
        <v>0.16207982447094804</v>
      </c>
      <c r="P27">
        <f>Q14</f>
        <v>0.15560588676715262</v>
      </c>
      <c r="Q27">
        <f>S14</f>
        <v>6.4739377037954238E-3</v>
      </c>
      <c r="R27">
        <f>O17</f>
        <v>0.64439001883757796</v>
      </c>
      <c r="S27">
        <f>Q17</f>
        <v>4.160470942518371</v>
      </c>
    </row>
    <row r="28" spans="1:19" x14ac:dyDescent="0.35">
      <c r="A28">
        <v>1</v>
      </c>
      <c r="B28">
        <v>512</v>
      </c>
      <c r="C28">
        <v>5.0000000000000001E-4</v>
      </c>
      <c r="D28">
        <v>1000</v>
      </c>
      <c r="E28">
        <v>64</v>
      </c>
      <c r="F28">
        <v>1</v>
      </c>
      <c r="G28">
        <v>0.62343185941250834</v>
      </c>
      <c r="H28">
        <v>7.0663811563169157E-2</v>
      </c>
      <c r="I28">
        <v>0.28934796306551719</v>
      </c>
      <c r="J28" t="str">
        <f t="shared" si="0"/>
        <v>1_512_0.0005_1000_64</v>
      </c>
      <c r="K28" cm="1">
        <f t="array" ref="K28">IF(F28=1,
     H28 - _xlfn.XLOOKUP(1, (J:J=J28)*(F:F=0), H:H),
     _xlfn.XLOOKUP(1, (J:J=J28)*(F:F=1), H:H) - H28
)</f>
        <v>-9.2345084117544107E-4</v>
      </c>
      <c r="L28">
        <f t="shared" si="1"/>
        <v>0</v>
      </c>
      <c r="M28">
        <f t="shared" si="2"/>
        <v>0</v>
      </c>
    </row>
    <row r="29" spans="1:19" x14ac:dyDescent="0.35">
      <c r="A29">
        <v>1</v>
      </c>
      <c r="B29">
        <v>512</v>
      </c>
      <c r="C29">
        <v>5.0000000000000001E-4</v>
      </c>
      <c r="D29">
        <v>1000</v>
      </c>
      <c r="E29">
        <v>64</v>
      </c>
      <c r="F29">
        <v>0</v>
      </c>
      <c r="G29">
        <v>0.63317512964761502</v>
      </c>
      <c r="H29">
        <v>7.1587262404344598E-2</v>
      </c>
      <c r="I29">
        <v>0.2851206392658</v>
      </c>
      <c r="J29" t="str">
        <f t="shared" si="0"/>
        <v>1_512_0.0005_1000_64</v>
      </c>
      <c r="K29" cm="1">
        <f t="array" ref="K29">IF(F29=1,
     H29 - _xlfn.XLOOKUP(1, (J:J=J29)*(F:F=0), H:H),
     _xlfn.XLOOKUP(1, (J:J=J29)*(F:F=1), H:H) - H29
)</f>
        <v>-9.2345084117544107E-4</v>
      </c>
      <c r="L29">
        <f t="shared" si="1"/>
        <v>0</v>
      </c>
      <c r="M29">
        <f t="shared" si="2"/>
        <v>0</v>
      </c>
    </row>
    <row r="30" spans="1:19" x14ac:dyDescent="0.35">
      <c r="A30">
        <v>1</v>
      </c>
      <c r="B30">
        <v>512</v>
      </c>
      <c r="C30">
        <v>5.0000000000000001E-4</v>
      </c>
      <c r="D30">
        <v>200</v>
      </c>
      <c r="E30">
        <v>64</v>
      </c>
      <c r="F30">
        <v>1</v>
      </c>
      <c r="G30">
        <v>0.63148619840818987</v>
      </c>
      <c r="H30">
        <v>7.1071071071071065E-2</v>
      </c>
      <c r="I30">
        <v>0.35432317183942208</v>
      </c>
      <c r="J30" t="str">
        <f t="shared" si="0"/>
        <v>1_512_0.0005_200_64</v>
      </c>
      <c r="K30" cm="1">
        <f t="array" ref="K30">IF(F30=1,
     H30 - _xlfn.XLOOKUP(1, (J:J=J30)*(F:F=0), H:H),
     _xlfn.XLOOKUP(1, (J:J=J30)*(F:F=1), H:H) - H30
)</f>
        <v>-1.292651852042484E-3</v>
      </c>
      <c r="L30">
        <f t="shared" si="1"/>
        <v>0</v>
      </c>
      <c r="M30">
        <f t="shared" si="2"/>
        <v>0</v>
      </c>
    </row>
    <row r="31" spans="1:19" x14ac:dyDescent="0.35">
      <c r="A31">
        <v>1</v>
      </c>
      <c r="B31">
        <v>512</v>
      </c>
      <c r="C31">
        <v>5.0000000000000001E-4</v>
      </c>
      <c r="D31">
        <v>200</v>
      </c>
      <c r="E31">
        <v>64</v>
      </c>
      <c r="F31">
        <v>0</v>
      </c>
      <c r="G31">
        <v>0.6369549150036955</v>
      </c>
      <c r="H31">
        <v>7.2363722923113549E-2</v>
      </c>
      <c r="I31">
        <v>0.28315644969745557</v>
      </c>
      <c r="J31" t="str">
        <f t="shared" si="0"/>
        <v>1_512_0.0005_200_64</v>
      </c>
      <c r="K31" cm="1">
        <f t="array" ref="K31">IF(F31=1,
     H31 - _xlfn.XLOOKUP(1, (J:J=J31)*(F:F=0), H:H),
     _xlfn.XLOOKUP(1, (J:J=J31)*(F:F=1), H:H) - H31
)</f>
        <v>-1.292651852042484E-3</v>
      </c>
      <c r="L31">
        <f t="shared" si="1"/>
        <v>0</v>
      </c>
      <c r="M31">
        <f t="shared" si="2"/>
        <v>0</v>
      </c>
    </row>
    <row r="32" spans="1:19" x14ac:dyDescent="0.35">
      <c r="A32">
        <v>1</v>
      </c>
      <c r="B32">
        <v>512</v>
      </c>
      <c r="C32">
        <v>5.0000000000000001E-4</v>
      </c>
      <c r="D32">
        <v>1000</v>
      </c>
      <c r="E32">
        <v>96</v>
      </c>
      <c r="F32">
        <v>1</v>
      </c>
      <c r="G32">
        <v>0.72746969150539387</v>
      </c>
      <c r="H32">
        <v>0.10142450142450143</v>
      </c>
      <c r="I32">
        <v>0.37368180070604595</v>
      </c>
      <c r="J32" t="str">
        <f t="shared" si="0"/>
        <v>1_512_0.0005_1000_96</v>
      </c>
      <c r="K32" cm="1">
        <f t="array" ref="K32">IF(F32=1,
     H32 - _xlfn.XLOOKUP(1, (J:J=J32)*(F:F=0), H:H),
     _xlfn.XLOOKUP(1, (J:J=J32)*(F:F=1), H:H) - H32
)</f>
        <v>1.4658506683046565E-2</v>
      </c>
      <c r="L32">
        <f t="shared" si="1"/>
        <v>1</v>
      </c>
      <c r="M32">
        <f t="shared" si="2"/>
        <v>0</v>
      </c>
    </row>
    <row r="33" spans="1:13" x14ac:dyDescent="0.35">
      <c r="A33">
        <v>1</v>
      </c>
      <c r="B33">
        <v>512</v>
      </c>
      <c r="C33">
        <v>5.0000000000000001E-4</v>
      </c>
      <c r="D33">
        <v>1000</v>
      </c>
      <c r="E33">
        <v>96</v>
      </c>
      <c r="F33">
        <v>0</v>
      </c>
      <c r="G33">
        <v>0.70229043223800869</v>
      </c>
      <c r="H33">
        <v>8.6765994741454869E-2</v>
      </c>
      <c r="I33">
        <v>0.34266764655405163</v>
      </c>
      <c r="J33" t="str">
        <f t="shared" si="0"/>
        <v>1_512_0.0005_1000_96</v>
      </c>
      <c r="K33" cm="1">
        <f t="array" ref="K33">IF(F33=1,
     H33 - _xlfn.XLOOKUP(1, (J:J=J33)*(F:F=0), H:H),
     _xlfn.XLOOKUP(1, (J:J=J33)*(F:F=1), H:H) - H33
)</f>
        <v>1.4658506683046565E-2</v>
      </c>
      <c r="L33">
        <f t="shared" si="1"/>
        <v>0</v>
      </c>
      <c r="M33">
        <f t="shared" si="2"/>
        <v>0</v>
      </c>
    </row>
    <row r="34" spans="1:13" x14ac:dyDescent="0.35">
      <c r="A34">
        <v>1</v>
      </c>
      <c r="B34">
        <v>512</v>
      </c>
      <c r="C34">
        <v>5.0000000000000001E-4</v>
      </c>
      <c r="D34">
        <v>1000</v>
      </c>
      <c r="E34">
        <v>128</v>
      </c>
      <c r="F34">
        <v>1</v>
      </c>
      <c r="G34">
        <v>0.81793927661147536</v>
      </c>
      <c r="H34">
        <v>0.14799999999999999</v>
      </c>
      <c r="I34">
        <v>0.46997551528774961</v>
      </c>
      <c r="J34" t="str">
        <f t="shared" si="0"/>
        <v>1_512_0.0005_1000_128</v>
      </c>
      <c r="K34" cm="1">
        <f t="array" ref="K34">IF(F34=1,
     H34 - _xlfn.XLOOKUP(1, (J:J=J34)*(F:F=0), H:H),
     _xlfn.XLOOKUP(1, (J:J=J34)*(F:F=1), H:H) - H34
)</f>
        <v>3.6065843621399155E-2</v>
      </c>
      <c r="L34">
        <f t="shared" si="1"/>
        <v>1</v>
      </c>
      <c r="M34">
        <f t="shared" si="2"/>
        <v>0</v>
      </c>
    </row>
    <row r="35" spans="1:13" x14ac:dyDescent="0.35">
      <c r="A35">
        <v>1</v>
      </c>
      <c r="B35">
        <v>512</v>
      </c>
      <c r="C35">
        <v>5.0000000000000001E-4</v>
      </c>
      <c r="D35">
        <v>1000</v>
      </c>
      <c r="E35">
        <v>128</v>
      </c>
      <c r="F35">
        <v>0</v>
      </c>
      <c r="G35">
        <v>0.76872190983909572</v>
      </c>
      <c r="H35">
        <v>0.11193415637860084</v>
      </c>
      <c r="I35">
        <v>0.38306102582386559</v>
      </c>
      <c r="J35" t="str">
        <f t="shared" si="0"/>
        <v>1_512_0.0005_1000_128</v>
      </c>
      <c r="K35" cm="1">
        <f t="array" ref="K35">IF(F35=1,
     H35 - _xlfn.XLOOKUP(1, (J:J=J35)*(F:F=0), H:H),
     _xlfn.XLOOKUP(1, (J:J=J35)*(F:F=1), H:H) - H35
)</f>
        <v>3.6065843621399155E-2</v>
      </c>
      <c r="L35">
        <f t="shared" si="1"/>
        <v>0</v>
      </c>
      <c r="M35">
        <f t="shared" si="2"/>
        <v>0</v>
      </c>
    </row>
    <row r="36" spans="1:13" x14ac:dyDescent="0.35">
      <c r="A36">
        <v>1</v>
      </c>
      <c r="B36">
        <v>512</v>
      </c>
      <c r="C36">
        <v>5.0000000000000001E-4</v>
      </c>
      <c r="D36">
        <v>200</v>
      </c>
      <c r="E36">
        <v>128</v>
      </c>
      <c r="F36">
        <v>1</v>
      </c>
      <c r="G36">
        <v>0.7732406560694205</v>
      </c>
      <c r="H36">
        <v>0.12817904374364195</v>
      </c>
      <c r="I36">
        <v>0.49649303300040104</v>
      </c>
      <c r="J36" t="str">
        <f t="shared" si="0"/>
        <v>1_512_0.0005_200_128</v>
      </c>
      <c r="K36" cm="1">
        <f t="array" ref="K36">IF(F36=1,
     H36 - _xlfn.XLOOKUP(1, (J:J=J36)*(F:F=0), H:H),
     _xlfn.XLOOKUP(1, (J:J=J36)*(F:F=1), H:H) - H36
)</f>
        <v>1.149531805275146E-2</v>
      </c>
      <c r="L36">
        <f t="shared" si="1"/>
        <v>1</v>
      </c>
      <c r="M36">
        <f t="shared" si="2"/>
        <v>0</v>
      </c>
    </row>
    <row r="37" spans="1:13" x14ac:dyDescent="0.35">
      <c r="A37">
        <v>1</v>
      </c>
      <c r="B37">
        <v>512</v>
      </c>
      <c r="C37">
        <v>5.0000000000000001E-4</v>
      </c>
      <c r="D37">
        <v>200</v>
      </c>
      <c r="E37">
        <v>128</v>
      </c>
      <c r="F37">
        <v>0</v>
      </c>
      <c r="G37">
        <v>0.77681333540868147</v>
      </c>
      <c r="H37">
        <v>0.11668372569089049</v>
      </c>
      <c r="I37">
        <v>0.4269266158950572</v>
      </c>
      <c r="J37" t="str">
        <f t="shared" si="0"/>
        <v>1_512_0.0005_200_128</v>
      </c>
      <c r="K37" cm="1">
        <f t="array" ref="K37">IF(F37=1,
     H37 - _xlfn.XLOOKUP(1, (J:J=J37)*(F:F=0), H:H),
     _xlfn.XLOOKUP(1, (J:J=J37)*(F:F=1), H:H) - H37
)</f>
        <v>1.149531805275146E-2</v>
      </c>
      <c r="L37">
        <f t="shared" si="1"/>
        <v>0</v>
      </c>
      <c r="M37">
        <f t="shared" si="2"/>
        <v>0</v>
      </c>
    </row>
    <row r="38" spans="1:13" x14ac:dyDescent="0.35">
      <c r="A38">
        <v>1</v>
      </c>
      <c r="B38">
        <v>512</v>
      </c>
      <c r="C38">
        <v>5.0000000000000001E-4</v>
      </c>
      <c r="D38">
        <v>1000</v>
      </c>
      <c r="E38">
        <v>160</v>
      </c>
      <c r="F38">
        <v>1</v>
      </c>
      <c r="G38">
        <v>0.83175923235692539</v>
      </c>
      <c r="H38">
        <v>0.16008316008316006</v>
      </c>
      <c r="I38">
        <v>0.45621117250043519</v>
      </c>
      <c r="J38" t="str">
        <f t="shared" si="0"/>
        <v>1_512_0.0005_1000_160</v>
      </c>
      <c r="K38" cm="1">
        <f t="array" ref="K38">IF(F38=1,
     H38 - _xlfn.XLOOKUP(1, (J:J=J38)*(F:F=0), H:H),
     _xlfn.XLOOKUP(1, (J:J=J38)*(F:F=1), H:H) - H38
)</f>
        <v>5.4332123297640422E-3</v>
      </c>
      <c r="L38">
        <f t="shared" si="1"/>
        <v>1</v>
      </c>
      <c r="M38">
        <f t="shared" si="2"/>
        <v>0</v>
      </c>
    </row>
    <row r="39" spans="1:13" x14ac:dyDescent="0.35">
      <c r="A39">
        <v>1</v>
      </c>
      <c r="B39">
        <v>512</v>
      </c>
      <c r="C39">
        <v>5.0000000000000001E-4</v>
      </c>
      <c r="D39">
        <v>1000</v>
      </c>
      <c r="E39">
        <v>160</v>
      </c>
      <c r="F39">
        <v>0</v>
      </c>
      <c r="G39">
        <v>0.81903561631430188</v>
      </c>
      <c r="H39">
        <v>0.15464994775339602</v>
      </c>
      <c r="I39">
        <v>0.39713954682252844</v>
      </c>
      <c r="J39" t="str">
        <f t="shared" si="0"/>
        <v>1_512_0.0005_1000_160</v>
      </c>
      <c r="K39" cm="1">
        <f t="array" ref="K39">IF(F39=1,
     H39 - _xlfn.XLOOKUP(1, (J:J=J39)*(F:F=0), H:H),
     _xlfn.XLOOKUP(1, (J:J=J39)*(F:F=1), H:H) - H39
)</f>
        <v>5.4332123297640422E-3</v>
      </c>
      <c r="L39">
        <f t="shared" si="1"/>
        <v>0</v>
      </c>
      <c r="M39">
        <f t="shared" si="2"/>
        <v>0</v>
      </c>
    </row>
    <row r="40" spans="1:13" x14ac:dyDescent="0.35">
      <c r="A40">
        <v>1</v>
      </c>
      <c r="B40">
        <v>512</v>
      </c>
      <c r="C40">
        <v>5.0000000000000001E-4</v>
      </c>
      <c r="D40">
        <v>1000</v>
      </c>
      <c r="E40">
        <v>16</v>
      </c>
      <c r="F40">
        <v>1</v>
      </c>
      <c r="G40">
        <v>0.4780564250064423</v>
      </c>
      <c r="H40">
        <v>4.8484126511406274E-2</v>
      </c>
      <c r="I40">
        <v>1.1512285098433495E-2</v>
      </c>
      <c r="J40" t="str">
        <f t="shared" si="0"/>
        <v>1_512_0.0005_1000_16</v>
      </c>
      <c r="K40" cm="1">
        <f t="array" ref="K40">IF(F40=1,
     H40 - _xlfn.XLOOKUP(1, (J:J=J40)*(F:F=0), H:H),
     _xlfn.XLOOKUP(1, (J:J=J40)*(F:F=1), H:H) - H40
)</f>
        <v>0</v>
      </c>
      <c r="L40">
        <f t="shared" si="1"/>
        <v>0</v>
      </c>
      <c r="M40">
        <f t="shared" si="2"/>
        <v>0</v>
      </c>
    </row>
    <row r="41" spans="1:13" x14ac:dyDescent="0.35">
      <c r="A41">
        <v>1</v>
      </c>
      <c r="B41">
        <v>512</v>
      </c>
      <c r="C41">
        <v>5.0000000000000001E-4</v>
      </c>
      <c r="D41">
        <v>1000</v>
      </c>
      <c r="E41">
        <v>16</v>
      </c>
      <c r="F41">
        <v>0</v>
      </c>
      <c r="G41">
        <v>0.4639966396640679</v>
      </c>
      <c r="H41">
        <v>4.8484126511406274E-2</v>
      </c>
      <c r="I41">
        <v>1.4598897658288479E-2</v>
      </c>
      <c r="J41" t="str">
        <f t="shared" si="0"/>
        <v>1_512_0.0005_1000_16</v>
      </c>
      <c r="K41" cm="1">
        <f t="array" ref="K41">IF(F41=1,
     H41 - _xlfn.XLOOKUP(1, (J:J=J41)*(F:F=0), H:H),
     _xlfn.XLOOKUP(1, (J:J=J41)*(F:F=1), H:H) - H41
)</f>
        <v>0</v>
      </c>
      <c r="L41">
        <f t="shared" si="1"/>
        <v>0</v>
      </c>
      <c r="M41">
        <f t="shared" si="2"/>
        <v>0</v>
      </c>
    </row>
    <row r="42" spans="1:13" x14ac:dyDescent="0.35">
      <c r="A42">
        <v>1</v>
      </c>
      <c r="B42">
        <v>512</v>
      </c>
      <c r="C42">
        <v>5.0000000000000001E-4</v>
      </c>
      <c r="D42">
        <v>200</v>
      </c>
      <c r="E42">
        <v>16</v>
      </c>
      <c r="F42">
        <v>1</v>
      </c>
      <c r="G42">
        <v>0.46612351437709015</v>
      </c>
      <c r="H42">
        <v>4.8484126511406274E-2</v>
      </c>
      <c r="I42">
        <v>1.270567998290062E-2</v>
      </c>
      <c r="J42" t="str">
        <f t="shared" si="0"/>
        <v>1_512_0.0005_200_16</v>
      </c>
      <c r="K42" cm="1">
        <f t="array" ref="K42">IF(F42=1,
     H42 - _xlfn.XLOOKUP(1, (J:J=J42)*(F:F=0), H:H),
     _xlfn.XLOOKUP(1, (J:J=J42)*(F:F=1), H:H) - H42
)</f>
        <v>0</v>
      </c>
      <c r="L42">
        <f t="shared" si="1"/>
        <v>0</v>
      </c>
      <c r="M42">
        <f t="shared" si="2"/>
        <v>0</v>
      </c>
    </row>
    <row r="43" spans="1:13" x14ac:dyDescent="0.35">
      <c r="A43">
        <v>1</v>
      </c>
      <c r="B43">
        <v>512</v>
      </c>
      <c r="C43">
        <v>5.0000000000000001E-4</v>
      </c>
      <c r="D43">
        <v>200</v>
      </c>
      <c r="E43">
        <v>16</v>
      </c>
      <c r="F43">
        <v>0</v>
      </c>
      <c r="G43">
        <v>0.46321711370536134</v>
      </c>
      <c r="H43">
        <v>4.8484126511406274E-2</v>
      </c>
      <c r="I43">
        <v>1.2925089336931705E-2</v>
      </c>
      <c r="J43" t="str">
        <f t="shared" si="0"/>
        <v>1_512_0.0005_200_16</v>
      </c>
      <c r="K43" cm="1">
        <f t="array" ref="K43">IF(F43=1,
     H43 - _xlfn.XLOOKUP(1, (J:J=J43)*(F:F=0), H:H),
     _xlfn.XLOOKUP(1, (J:J=J43)*(F:F=1), H:H) - H43
)</f>
        <v>0</v>
      </c>
      <c r="L43">
        <f t="shared" si="1"/>
        <v>0</v>
      </c>
      <c r="M43">
        <f t="shared" si="2"/>
        <v>0</v>
      </c>
    </row>
    <row r="44" spans="1:13" x14ac:dyDescent="0.35">
      <c r="A44">
        <v>1</v>
      </c>
      <c r="B44">
        <v>512</v>
      </c>
      <c r="C44">
        <v>1.8000000000000002E-3</v>
      </c>
      <c r="D44">
        <v>1000</v>
      </c>
      <c r="E44">
        <v>192</v>
      </c>
      <c r="F44">
        <v>1</v>
      </c>
      <c r="G44">
        <v>0.85622709126458929</v>
      </c>
      <c r="H44">
        <v>0.18208516886930984</v>
      </c>
      <c r="I44">
        <v>0.43804045051944496</v>
      </c>
      <c r="J44" t="str">
        <f t="shared" si="0"/>
        <v>1_512_0.0018_1000_192</v>
      </c>
      <c r="K44" cm="1">
        <f t="array" ref="K44">IF(F44=1,
     H44 - _xlfn.XLOOKUP(1, (J:J=J44)*(F:F=0), H:H),
     _xlfn.XLOOKUP(1, (J:J=J44)*(F:F=1), H:H) - H44
)</f>
        <v>1.2034407447990031E-2</v>
      </c>
      <c r="L44">
        <f t="shared" si="1"/>
        <v>1</v>
      </c>
      <c r="M44">
        <f t="shared" si="2"/>
        <v>0</v>
      </c>
    </row>
    <row r="45" spans="1:13" x14ac:dyDescent="0.35">
      <c r="A45">
        <v>1</v>
      </c>
      <c r="B45">
        <v>512</v>
      </c>
      <c r="C45">
        <v>1.8000000000000002E-3</v>
      </c>
      <c r="D45">
        <v>1000</v>
      </c>
      <c r="E45">
        <v>192</v>
      </c>
      <c r="F45">
        <v>0</v>
      </c>
      <c r="G45">
        <v>0.8467204766650871</v>
      </c>
      <c r="H45">
        <v>0.17005076142131981</v>
      </c>
      <c r="I45">
        <v>0.4070803778512137</v>
      </c>
      <c r="J45" t="str">
        <f t="shared" si="0"/>
        <v>1_512_0.0018_1000_192</v>
      </c>
      <c r="K45" cm="1">
        <f t="array" ref="K45">IF(F45=1,
     H45 - _xlfn.XLOOKUP(1, (J:J=J45)*(F:F=0), H:H),
     _xlfn.XLOOKUP(1, (J:J=J45)*(F:F=1), H:H) - H45
)</f>
        <v>1.2034407447990031E-2</v>
      </c>
      <c r="L45">
        <f t="shared" si="1"/>
        <v>0</v>
      </c>
      <c r="M45">
        <f t="shared" si="2"/>
        <v>0</v>
      </c>
    </row>
    <row r="46" spans="1:13" x14ac:dyDescent="0.35">
      <c r="A46">
        <v>1</v>
      </c>
      <c r="B46">
        <v>512</v>
      </c>
      <c r="C46">
        <v>2E-3</v>
      </c>
      <c r="D46">
        <v>1000</v>
      </c>
      <c r="E46">
        <v>192</v>
      </c>
      <c r="F46">
        <v>1</v>
      </c>
      <c r="G46">
        <v>0.86165438513362635</v>
      </c>
      <c r="H46">
        <v>0.18208516886930984</v>
      </c>
      <c r="I46">
        <v>0.44035353222671819</v>
      </c>
      <c r="J46" t="str">
        <f t="shared" si="0"/>
        <v>1_512_0.002_1000_192</v>
      </c>
      <c r="K46" cm="1">
        <f t="array" ref="K46">IF(F46=1,
     H46 - _xlfn.XLOOKUP(1, (J:J=J46)*(F:F=0), H:H),
     _xlfn.XLOOKUP(1, (J:J=J46)*(F:F=1), H:H) - H46
)</f>
        <v>1.2372375135628361E-2</v>
      </c>
      <c r="L46">
        <f t="shared" si="1"/>
        <v>1</v>
      </c>
      <c r="M46">
        <f t="shared" si="2"/>
        <v>0</v>
      </c>
    </row>
    <row r="47" spans="1:13" x14ac:dyDescent="0.35">
      <c r="A47">
        <v>1</v>
      </c>
      <c r="B47">
        <v>512</v>
      </c>
      <c r="C47">
        <v>2.5000000000000001E-3</v>
      </c>
      <c r="D47">
        <v>1000</v>
      </c>
      <c r="E47">
        <v>192</v>
      </c>
      <c r="F47">
        <v>1</v>
      </c>
      <c r="G47">
        <v>0.85135532571932748</v>
      </c>
      <c r="H47">
        <v>0.18049490538573509</v>
      </c>
      <c r="I47">
        <v>0.43627028319300437</v>
      </c>
      <c r="J47" t="str">
        <f t="shared" si="0"/>
        <v>1_512_0.0025_1000_192</v>
      </c>
      <c r="K47" cm="1">
        <f t="array" ref="K47">IF(F47=1,
     H47 - _xlfn.XLOOKUP(1, (J:J=J47)*(F:F=0), H:H),
     _xlfn.XLOOKUP(1, (J:J=J47)*(F:F=1), H:H) - H47
)</f>
        <v>1.3330726281257477E-2</v>
      </c>
      <c r="L47">
        <f t="shared" si="1"/>
        <v>1</v>
      </c>
      <c r="M47">
        <f t="shared" si="2"/>
        <v>0</v>
      </c>
    </row>
    <row r="48" spans="1:13" x14ac:dyDescent="0.35">
      <c r="A48">
        <v>1</v>
      </c>
      <c r="B48">
        <v>512</v>
      </c>
      <c r="C48">
        <v>2.5000000000000001E-3</v>
      </c>
      <c r="D48">
        <v>1000</v>
      </c>
      <c r="E48">
        <v>192</v>
      </c>
      <c r="F48">
        <v>0</v>
      </c>
      <c r="G48">
        <v>0.83494545474350379</v>
      </c>
      <c r="H48">
        <v>0.16716417910447762</v>
      </c>
      <c r="I48">
        <v>0.43989811472746787</v>
      </c>
      <c r="J48" t="str">
        <f t="shared" si="0"/>
        <v>1_512_0.0025_1000_192</v>
      </c>
      <c r="K48" cm="1">
        <f t="array" ref="K48">IF(F48=1,
     H48 - _xlfn.XLOOKUP(1, (J:J=J48)*(F:F=0), H:H),
     _xlfn.XLOOKUP(1, (J:J=J48)*(F:F=1), H:H) - H48
)</f>
        <v>1.3330726281257477E-2</v>
      </c>
      <c r="L48">
        <f t="shared" si="1"/>
        <v>0</v>
      </c>
      <c r="M48">
        <f t="shared" si="2"/>
        <v>0</v>
      </c>
    </row>
    <row r="49" spans="1:13" x14ac:dyDescent="0.35">
      <c r="A49">
        <v>1</v>
      </c>
      <c r="B49">
        <v>512</v>
      </c>
      <c r="C49">
        <v>2E-3</v>
      </c>
      <c r="D49">
        <v>1000</v>
      </c>
      <c r="E49">
        <v>192</v>
      </c>
      <c r="F49">
        <v>0</v>
      </c>
      <c r="G49">
        <v>0.84478429706604785</v>
      </c>
      <c r="H49">
        <v>0.16971279373368148</v>
      </c>
      <c r="I49">
        <v>0.41169118881225586</v>
      </c>
      <c r="J49" t="str">
        <f t="shared" si="0"/>
        <v>1_512_0.002_1000_192</v>
      </c>
      <c r="K49" cm="1">
        <f t="array" ref="K49">IF(F49=1,
     H49 - _xlfn.XLOOKUP(1, (J:J=J49)*(F:F=0), H:H),
     _xlfn.XLOOKUP(1, (J:J=J49)*(F:F=1), H:H) - H49
)</f>
        <v>1.2372375135628361E-2</v>
      </c>
      <c r="L49">
        <f t="shared" si="1"/>
        <v>0</v>
      </c>
      <c r="M49">
        <f t="shared" si="2"/>
        <v>0</v>
      </c>
    </row>
    <row r="50" spans="1:13" x14ac:dyDescent="0.35">
      <c r="A50">
        <v>1</v>
      </c>
      <c r="B50">
        <v>512</v>
      </c>
      <c r="C50">
        <v>1.8000000000000002E-3</v>
      </c>
      <c r="D50">
        <v>1000</v>
      </c>
      <c r="E50">
        <v>224</v>
      </c>
      <c r="F50">
        <v>1</v>
      </c>
      <c r="G50">
        <v>0.83711257309941534</v>
      </c>
      <c r="H50">
        <v>0.16838487972508592</v>
      </c>
      <c r="I50">
        <v>0.45669004503561528</v>
      </c>
      <c r="J50" t="str">
        <f t="shared" si="0"/>
        <v>1_512_0.0018_1000_224</v>
      </c>
      <c r="K50" cm="1">
        <f t="array" ref="K50">IF(F50=1,
     H50 - _xlfn.XLOOKUP(1, (J:J=J50)*(F:F=0), H:H),
     _xlfn.XLOOKUP(1, (J:J=J50)*(F:F=1), H:H) - H50
)</f>
        <v>-5.3956080797920858E-3</v>
      </c>
      <c r="L50">
        <f t="shared" si="1"/>
        <v>0</v>
      </c>
      <c r="M50">
        <f t="shared" si="2"/>
        <v>1</v>
      </c>
    </row>
    <row r="51" spans="1:13" x14ac:dyDescent="0.35">
      <c r="A51">
        <v>1</v>
      </c>
      <c r="B51">
        <v>512</v>
      </c>
      <c r="C51">
        <v>1.8000000000000002E-3</v>
      </c>
      <c r="D51">
        <v>1000</v>
      </c>
      <c r="E51">
        <v>224</v>
      </c>
      <c r="F51">
        <v>0</v>
      </c>
      <c r="G51">
        <v>0.83394005847953223</v>
      </c>
      <c r="H51">
        <v>0.17378048780487801</v>
      </c>
      <c r="I51">
        <v>0.42690057109813301</v>
      </c>
      <c r="J51" t="str">
        <f t="shared" si="0"/>
        <v>1_512_0.0018_1000_224</v>
      </c>
      <c r="K51" cm="1">
        <f t="array" ref="K51">IF(F51=1,
     H51 - _xlfn.XLOOKUP(1, (J:J=J51)*(F:F=0), H:H),
     _xlfn.XLOOKUP(1, (J:J=J51)*(F:F=1), H:H) - H51
)</f>
        <v>-5.3956080797920858E-3</v>
      </c>
      <c r="L51">
        <f t="shared" si="1"/>
        <v>0</v>
      </c>
      <c r="M51">
        <f t="shared" si="2"/>
        <v>0</v>
      </c>
    </row>
    <row r="52" spans="1:13" x14ac:dyDescent="0.35">
      <c r="A52">
        <v>1</v>
      </c>
      <c r="B52">
        <v>512</v>
      </c>
      <c r="C52">
        <v>2E-3</v>
      </c>
      <c r="D52">
        <v>1000</v>
      </c>
      <c r="E52">
        <v>224</v>
      </c>
      <c r="F52">
        <v>1</v>
      </c>
      <c r="G52">
        <v>0.84393274853801181</v>
      </c>
      <c r="H52">
        <v>0.17495711835334476</v>
      </c>
      <c r="I52">
        <v>0.45211202514414883</v>
      </c>
      <c r="J52" t="str">
        <f t="shared" si="0"/>
        <v>1_512_0.002_1000_224</v>
      </c>
      <c r="K52" cm="1">
        <f t="array" ref="K52">IF(F52=1,
     H52 - _xlfn.XLOOKUP(1, (J:J=J52)*(F:F=0), H:H),
     _xlfn.XLOOKUP(1, (J:J=J52)*(F:F=1), H:H) - H52
)</f>
        <v>-1.8698975135803819E-2</v>
      </c>
      <c r="L52">
        <f t="shared" si="1"/>
        <v>0</v>
      </c>
      <c r="M52">
        <f t="shared" si="2"/>
        <v>1</v>
      </c>
    </row>
    <row r="53" spans="1:13" x14ac:dyDescent="0.35">
      <c r="A53">
        <v>1</v>
      </c>
      <c r="B53">
        <v>512</v>
      </c>
      <c r="C53">
        <v>2.5000000000000001E-3</v>
      </c>
      <c r="D53">
        <v>1000</v>
      </c>
      <c r="E53">
        <v>224</v>
      </c>
      <c r="F53">
        <v>1</v>
      </c>
      <c r="G53">
        <v>0.84215643274853802</v>
      </c>
      <c r="H53">
        <v>0.17054263565891473</v>
      </c>
      <c r="I53">
        <v>0.42504127414859072</v>
      </c>
      <c r="J53" t="str">
        <f t="shared" si="0"/>
        <v>1_512_0.0025_1000_224</v>
      </c>
      <c r="K53" cm="1">
        <f t="array" ref="K53">IF(F53=1,
     H53 - _xlfn.XLOOKUP(1, (J:J=J53)*(F:F=0), H:H),
     _xlfn.XLOOKUP(1, (J:J=J53)*(F:F=1), H:H) - H53
)</f>
        <v>-8.7677091686714781E-3</v>
      </c>
      <c r="L53">
        <f t="shared" si="1"/>
        <v>0</v>
      </c>
      <c r="M53">
        <f t="shared" si="2"/>
        <v>1</v>
      </c>
    </row>
    <row r="54" spans="1:13" x14ac:dyDescent="0.35">
      <c r="A54">
        <v>1</v>
      </c>
      <c r="B54">
        <v>512</v>
      </c>
      <c r="C54">
        <v>2.5000000000000001E-3</v>
      </c>
      <c r="D54">
        <v>1000</v>
      </c>
      <c r="E54">
        <v>224</v>
      </c>
      <c r="F54">
        <v>0</v>
      </c>
      <c r="G54">
        <v>0.83942251461988304</v>
      </c>
      <c r="H54">
        <v>0.1793103448275862</v>
      </c>
      <c r="I54">
        <v>0.45078249366915957</v>
      </c>
      <c r="J54" t="str">
        <f t="shared" si="0"/>
        <v>1_512_0.0025_1000_224</v>
      </c>
      <c r="K54" cm="1">
        <f t="array" ref="K54">IF(F54=1,
     H54 - _xlfn.XLOOKUP(1, (J:J=J54)*(F:F=0), H:H),
     _xlfn.XLOOKUP(1, (J:J=J54)*(F:F=1), H:H) - H54
)</f>
        <v>-8.7677091686714781E-3</v>
      </c>
      <c r="L54">
        <f t="shared" si="1"/>
        <v>0</v>
      </c>
      <c r="M54">
        <f t="shared" si="2"/>
        <v>0</v>
      </c>
    </row>
    <row r="55" spans="1:13" x14ac:dyDescent="0.35">
      <c r="A55">
        <v>1</v>
      </c>
      <c r="B55">
        <v>512</v>
      </c>
      <c r="C55">
        <v>2E-3</v>
      </c>
      <c r="D55">
        <v>1000</v>
      </c>
      <c r="E55">
        <v>224</v>
      </c>
      <c r="F55">
        <v>0</v>
      </c>
      <c r="G55">
        <v>0.84943713450292402</v>
      </c>
      <c r="H55">
        <v>0.19365609348914858</v>
      </c>
      <c r="I55">
        <v>0.44138354671244723</v>
      </c>
      <c r="J55" t="str">
        <f t="shared" si="0"/>
        <v>1_512_0.002_1000_224</v>
      </c>
      <c r="K55" cm="1">
        <f t="array" ref="K55">IF(F55=1,
     H55 - _xlfn.XLOOKUP(1, (J:J=J55)*(F:F=0), H:H),
     _xlfn.XLOOKUP(1, (J:J=J55)*(F:F=1), H:H) - H55
)</f>
        <v>-1.8698975135803819E-2</v>
      </c>
      <c r="L55">
        <f t="shared" si="1"/>
        <v>0</v>
      </c>
      <c r="M55">
        <f t="shared" si="2"/>
        <v>0</v>
      </c>
    </row>
    <row r="56" spans="1:13" x14ac:dyDescent="0.35">
      <c r="A56">
        <v>1</v>
      </c>
      <c r="B56">
        <v>512</v>
      </c>
      <c r="C56">
        <v>1E-4</v>
      </c>
      <c r="D56">
        <v>1000</v>
      </c>
      <c r="E56">
        <v>256</v>
      </c>
      <c r="F56">
        <v>1</v>
      </c>
      <c r="G56">
        <v>0.84786485444380177</v>
      </c>
      <c r="H56">
        <v>0.17869415807560138</v>
      </c>
      <c r="I56">
        <v>0.58674981642742541</v>
      </c>
      <c r="J56" t="str">
        <f t="shared" si="0"/>
        <v>1_512_0.0001_1000_256</v>
      </c>
      <c r="K56" cm="1">
        <f t="array" ref="K56">IF(F56=1,
     H56 - _xlfn.XLOOKUP(1, (J:J=J56)*(F:F=0), H:H),
     _xlfn.XLOOKUP(1, (J:J=J56)*(F:F=1), H:H) - H56
)</f>
        <v>-2.8376548995105694E-2</v>
      </c>
      <c r="L56">
        <f t="shared" si="1"/>
        <v>0</v>
      </c>
      <c r="M56">
        <f t="shared" si="2"/>
        <v>1</v>
      </c>
    </row>
    <row r="57" spans="1:13" x14ac:dyDescent="0.35">
      <c r="A57">
        <v>1</v>
      </c>
      <c r="B57">
        <v>512</v>
      </c>
      <c r="C57">
        <v>1E-4</v>
      </c>
      <c r="D57">
        <v>1000</v>
      </c>
      <c r="E57">
        <v>256</v>
      </c>
      <c r="F57">
        <v>0</v>
      </c>
      <c r="G57">
        <v>0.86689801426643531</v>
      </c>
      <c r="H57">
        <v>0.20707070707070707</v>
      </c>
      <c r="I57">
        <v>0.51716204322114279</v>
      </c>
      <c r="J57" t="str">
        <f t="shared" si="0"/>
        <v>1_512_0.0001_1000_256</v>
      </c>
      <c r="K57" cm="1">
        <f t="array" ref="K57">IF(F57=1,
     H57 - _xlfn.XLOOKUP(1, (J:J=J57)*(F:F=0), H:H),
     _xlfn.XLOOKUP(1, (J:J=J57)*(F:F=1), H:H) - H57
)</f>
        <v>-2.8376548995105694E-2</v>
      </c>
      <c r="L57">
        <f t="shared" si="1"/>
        <v>0</v>
      </c>
      <c r="M57">
        <f t="shared" si="2"/>
        <v>0</v>
      </c>
    </row>
    <row r="58" spans="1:13" x14ac:dyDescent="0.35">
      <c r="A58">
        <v>1</v>
      </c>
      <c r="B58">
        <v>512</v>
      </c>
      <c r="C58">
        <v>5.0000000000000001E-4</v>
      </c>
      <c r="D58">
        <v>1000</v>
      </c>
      <c r="E58">
        <v>256</v>
      </c>
      <c r="F58">
        <v>1</v>
      </c>
      <c r="G58">
        <v>0.89474166184692494</v>
      </c>
      <c r="H58">
        <v>0.25641025641025639</v>
      </c>
      <c r="I58">
        <v>0.63012540948634244</v>
      </c>
      <c r="J58" t="str">
        <f t="shared" si="0"/>
        <v>1_512_0.0005_1000_256</v>
      </c>
      <c r="K58" cm="1">
        <f t="array" ref="K58">IF(F58=1,
     H58 - _xlfn.XLOOKUP(1, (J:J=J58)*(F:F=0), H:H),
     _xlfn.XLOOKUP(1, (J:J=J58)*(F:F=1), H:H) - H58
)</f>
        <v>2.4831309041835309E-2</v>
      </c>
      <c r="L58">
        <f t="shared" si="1"/>
        <v>1</v>
      </c>
      <c r="M58">
        <f t="shared" si="2"/>
        <v>0</v>
      </c>
    </row>
    <row r="59" spans="1:13" x14ac:dyDescent="0.35">
      <c r="A59">
        <v>1</v>
      </c>
      <c r="B59">
        <v>512</v>
      </c>
      <c r="C59">
        <v>5.0000000000000001E-4</v>
      </c>
      <c r="D59">
        <v>1000</v>
      </c>
      <c r="E59">
        <v>256</v>
      </c>
      <c r="F59">
        <v>0</v>
      </c>
      <c r="G59">
        <v>0.88398399845768272</v>
      </c>
      <c r="H59">
        <v>0.23157894736842108</v>
      </c>
      <c r="I59">
        <v>0.52502335334310724</v>
      </c>
      <c r="J59" t="str">
        <f t="shared" si="0"/>
        <v>1_512_0.0005_1000_256</v>
      </c>
      <c r="K59" cm="1">
        <f t="array" ref="K59">IF(F59=1,
     H59 - _xlfn.XLOOKUP(1, (J:J=J59)*(F:F=0), H:H),
     _xlfn.XLOOKUP(1, (J:J=J59)*(F:F=1), H:H) - H59
)</f>
        <v>2.4831309041835309E-2</v>
      </c>
      <c r="L59">
        <f t="shared" si="1"/>
        <v>0</v>
      </c>
      <c r="M59">
        <f t="shared" si="2"/>
        <v>0</v>
      </c>
    </row>
    <row r="60" spans="1:13" x14ac:dyDescent="0.35">
      <c r="A60">
        <v>1</v>
      </c>
      <c r="B60">
        <v>512</v>
      </c>
      <c r="C60">
        <v>1E-3</v>
      </c>
      <c r="D60">
        <v>1000</v>
      </c>
      <c r="E60">
        <v>256</v>
      </c>
      <c r="F60">
        <v>1</v>
      </c>
      <c r="G60">
        <v>0.90356660882976669</v>
      </c>
      <c r="H60">
        <v>0.26997245179063362</v>
      </c>
      <c r="I60">
        <v>0.70513050775138697</v>
      </c>
      <c r="J60" t="str">
        <f t="shared" si="0"/>
        <v>1_512_0.001_1000_256</v>
      </c>
      <c r="K60" cm="1">
        <f t="array" ref="K60">IF(F60=1,
     H60 - _xlfn.XLOOKUP(1, (J:J=J60)*(F:F=0), H:H),
     _xlfn.XLOOKUP(1, (J:J=J60)*(F:F=1), H:H) - H60
)</f>
        <v>3.404751881476234E-2</v>
      </c>
      <c r="L60">
        <f t="shared" si="1"/>
        <v>1</v>
      </c>
      <c r="M60">
        <f t="shared" si="2"/>
        <v>0</v>
      </c>
    </row>
    <row r="61" spans="1:13" x14ac:dyDescent="0.35">
      <c r="A61">
        <v>1</v>
      </c>
      <c r="B61">
        <v>512</v>
      </c>
      <c r="C61">
        <v>1.5E-3</v>
      </c>
      <c r="D61">
        <v>1000</v>
      </c>
      <c r="E61">
        <v>256</v>
      </c>
      <c r="F61">
        <v>1</v>
      </c>
      <c r="G61">
        <v>0.89579718527086949</v>
      </c>
      <c r="H61">
        <v>0.25</v>
      </c>
      <c r="I61">
        <v>0.56971538310148273</v>
      </c>
      <c r="J61" t="str">
        <f t="shared" si="0"/>
        <v>1_512_0.0015_1000_256</v>
      </c>
      <c r="K61" cm="1">
        <f t="array" ref="K61">IF(F61=1,
     H61 - _xlfn.XLOOKUP(1, (J:J=J61)*(F:F=0), H:H),
     _xlfn.XLOOKUP(1, (J:J=J61)*(F:F=1), H:H) - H61
)</f>
        <v>1.8987341772151722E-3</v>
      </c>
      <c r="L61">
        <f t="shared" si="1"/>
        <v>0</v>
      </c>
      <c r="M61">
        <f t="shared" si="2"/>
        <v>0</v>
      </c>
    </row>
    <row r="62" spans="1:13" x14ac:dyDescent="0.35">
      <c r="A62">
        <v>1</v>
      </c>
      <c r="B62">
        <v>512</v>
      </c>
      <c r="C62">
        <v>1.5E-3</v>
      </c>
      <c r="D62">
        <v>1000</v>
      </c>
      <c r="E62">
        <v>256</v>
      </c>
      <c r="F62">
        <v>0</v>
      </c>
      <c r="G62">
        <v>0.8855022170811645</v>
      </c>
      <c r="H62">
        <v>0.24810126582278483</v>
      </c>
      <c r="I62">
        <v>0.5132588950955137</v>
      </c>
      <c r="J62" t="str">
        <f t="shared" si="0"/>
        <v>1_512_0.0015_1000_256</v>
      </c>
      <c r="K62" cm="1">
        <f t="array" ref="K62">IF(F62=1,
     H62 - _xlfn.XLOOKUP(1, (J:J=J62)*(F:F=0), H:H),
     _xlfn.XLOOKUP(1, (J:J=J62)*(F:F=1), H:H) - H62
)</f>
        <v>1.8987341772151722E-3</v>
      </c>
      <c r="L62">
        <f t="shared" si="1"/>
        <v>0</v>
      </c>
      <c r="M62">
        <f t="shared" si="2"/>
        <v>0</v>
      </c>
    </row>
    <row r="63" spans="1:13" x14ac:dyDescent="0.35">
      <c r="A63">
        <v>1</v>
      </c>
      <c r="B63">
        <v>512</v>
      </c>
      <c r="C63">
        <v>1E-3</v>
      </c>
      <c r="D63">
        <v>1000</v>
      </c>
      <c r="E63">
        <v>256</v>
      </c>
      <c r="F63">
        <v>0</v>
      </c>
      <c r="G63">
        <v>0.88570464623096201</v>
      </c>
      <c r="H63">
        <v>0.23592493297587128</v>
      </c>
      <c r="I63">
        <v>0.53224890086115617</v>
      </c>
      <c r="J63" t="str">
        <f t="shared" si="0"/>
        <v>1_512_0.001_1000_256</v>
      </c>
      <c r="K63" cm="1">
        <f t="array" ref="K63">IF(F63=1,
     H63 - _xlfn.XLOOKUP(1, (J:J=J63)*(F:F=0), H:H),
     _xlfn.XLOOKUP(1, (J:J=J63)*(F:F=1), H:H) - H63
)</f>
        <v>3.404751881476234E-2</v>
      </c>
      <c r="L63">
        <f t="shared" si="1"/>
        <v>0</v>
      </c>
      <c r="M63">
        <f t="shared" si="2"/>
        <v>0</v>
      </c>
    </row>
    <row r="64" spans="1:13" x14ac:dyDescent="0.35">
      <c r="A64">
        <v>1</v>
      </c>
      <c r="B64">
        <v>512</v>
      </c>
      <c r="C64">
        <v>2E-3</v>
      </c>
      <c r="D64">
        <v>1000</v>
      </c>
      <c r="E64">
        <v>256</v>
      </c>
      <c r="F64">
        <v>1</v>
      </c>
      <c r="G64">
        <v>0.90683439367649876</v>
      </c>
      <c r="H64">
        <v>0.27777777777777779</v>
      </c>
      <c r="I64">
        <v>0.59534358917450425</v>
      </c>
      <c r="J64" t="str">
        <f t="shared" si="0"/>
        <v>1_512_0.002_1000_256</v>
      </c>
      <c r="K64" cm="1">
        <f t="array" ref="K64">IF(F64=1,
     H64 - _xlfn.XLOOKUP(1, (J:J=J64)*(F:F=0), H:H),
     _xlfn.XLOOKUP(1, (J:J=J64)*(F:F=1), H:H) - H64
)</f>
        <v>2.0708369037417851E-2</v>
      </c>
      <c r="L64">
        <f t="shared" si="1"/>
        <v>1</v>
      </c>
      <c r="M64">
        <f t="shared" si="2"/>
        <v>0</v>
      </c>
    </row>
    <row r="65" spans="1:14" x14ac:dyDescent="0.35">
      <c r="A65">
        <v>1</v>
      </c>
      <c r="B65">
        <v>512</v>
      </c>
      <c r="C65">
        <v>2E-3</v>
      </c>
      <c r="D65">
        <v>1000</v>
      </c>
      <c r="E65">
        <v>256</v>
      </c>
      <c r="F65">
        <v>0</v>
      </c>
      <c r="G65">
        <v>0.89025448235974547</v>
      </c>
      <c r="H65">
        <v>0.25706940874035994</v>
      </c>
      <c r="I65">
        <v>0.52837234370562491</v>
      </c>
      <c r="J65" t="str">
        <f t="shared" si="0"/>
        <v>1_512_0.002_1000_256</v>
      </c>
      <c r="K65" cm="1">
        <f t="array" ref="K65">IF(F65=1,
     H65 - _xlfn.XLOOKUP(1, (J:J=J65)*(F:F=0), H:H),
     _xlfn.XLOOKUP(1, (J:J=J65)*(F:F=1), H:H) - H65
)</f>
        <v>2.0708369037417851E-2</v>
      </c>
      <c r="L65">
        <f t="shared" si="1"/>
        <v>0</v>
      </c>
      <c r="M65">
        <f t="shared" si="2"/>
        <v>0</v>
      </c>
    </row>
    <row r="66" spans="1:14" x14ac:dyDescent="0.35">
      <c r="A66">
        <v>1</v>
      </c>
      <c r="B66">
        <v>512</v>
      </c>
      <c r="C66">
        <v>5.0000000000000001E-4</v>
      </c>
      <c r="D66">
        <v>1000</v>
      </c>
      <c r="E66">
        <v>32</v>
      </c>
      <c r="F66">
        <v>1</v>
      </c>
      <c r="G66">
        <v>0.58086422427087769</v>
      </c>
      <c r="H66">
        <v>6.2220751282475596E-2</v>
      </c>
      <c r="I66">
        <v>0.22558276127187574</v>
      </c>
      <c r="J66" t="str">
        <f t="shared" si="0"/>
        <v>1_512_0.0005_1000_32</v>
      </c>
      <c r="K66" cm="1">
        <f t="array" ref="K66">IF(F66=1,
     H66 - _xlfn.XLOOKUP(1, (J:J=J66)*(F:F=0), H:H),
     _xlfn.XLOOKUP(1, (J:J=J66)*(F:F=1), H:H) - H66
)</f>
        <v>1.4407851940446623E-3</v>
      </c>
      <c r="L66">
        <f t="shared" si="1"/>
        <v>0</v>
      </c>
      <c r="M66">
        <f t="shared" si="2"/>
        <v>0</v>
      </c>
    </row>
    <row r="67" spans="1:14" x14ac:dyDescent="0.35">
      <c r="A67">
        <v>1</v>
      </c>
      <c r="B67">
        <v>512</v>
      </c>
      <c r="C67">
        <v>5.0000000000000001E-4</v>
      </c>
      <c r="D67">
        <v>1000</v>
      </c>
      <c r="E67">
        <v>32</v>
      </c>
      <c r="F67">
        <v>0</v>
      </c>
      <c r="G67">
        <v>0.57305298351114209</v>
      </c>
      <c r="H67">
        <v>6.0779966088430934E-2</v>
      </c>
      <c r="I67">
        <v>0.20268494430549291</v>
      </c>
      <c r="J67" t="str">
        <f t="shared" ref="J67:J69" si="3">A67 &amp; "_" &amp; B67 &amp; "_" &amp; C67 &amp; "_" &amp; D67 &amp; "_" &amp; E67</f>
        <v>1_512_0.0005_1000_32</v>
      </c>
      <c r="K67" cm="1">
        <f t="array" ref="K67">IF(F67=1,
     H67 - _xlfn.XLOOKUP(1, (J:J=J67)*(F:F=0), H:H),
     _xlfn.XLOOKUP(1, (J:J=J67)*(F:F=1), H:H) - H67
)</f>
        <v>1.4407851940446623E-3</v>
      </c>
      <c r="L67">
        <f t="shared" ref="L67:L69" si="4">IF(AND(F67=1, K67 &gt; $N$2), 1, 0)</f>
        <v>0</v>
      </c>
      <c r="M67">
        <f t="shared" ref="M67:M69" si="5">IF(AND(F67=1, K67 &lt; -$N$2), 1, 0)</f>
        <v>0</v>
      </c>
    </row>
    <row r="68" spans="1:14" x14ac:dyDescent="0.35">
      <c r="A68">
        <v>1</v>
      </c>
      <c r="B68">
        <v>512</v>
      </c>
      <c r="C68">
        <v>5.0000000000000001E-4</v>
      </c>
      <c r="D68">
        <v>200</v>
      </c>
      <c r="E68">
        <v>32</v>
      </c>
      <c r="F68">
        <v>1</v>
      </c>
      <c r="G68">
        <v>0.55516399388515802</v>
      </c>
      <c r="H68">
        <v>5.7564575645756469E-2</v>
      </c>
      <c r="I68">
        <v>0.27000822773089217</v>
      </c>
      <c r="J68" t="str">
        <f t="shared" si="3"/>
        <v>1_512_0.0005_200_32</v>
      </c>
      <c r="K68" cm="1">
        <f t="array" ref="K68">IF(F68=1,
     H68 - _xlfn.XLOOKUP(1, (J:J=J68)*(F:F=0), H:H),
     _xlfn.XLOOKUP(1, (J:J=J68)*(F:F=1), H:H) - H68
)</f>
        <v>-2.1815035177984304E-3</v>
      </c>
      <c r="L68">
        <f t="shared" si="4"/>
        <v>0</v>
      </c>
      <c r="M68">
        <f t="shared" si="5"/>
        <v>1</v>
      </c>
    </row>
    <row r="69" spans="1:14" x14ac:dyDescent="0.35">
      <c r="A69">
        <v>1</v>
      </c>
      <c r="B69">
        <v>512</v>
      </c>
      <c r="C69">
        <v>5.0000000000000001E-4</v>
      </c>
      <c r="D69">
        <v>200</v>
      </c>
      <c r="E69">
        <v>32</v>
      </c>
      <c r="F69">
        <v>0</v>
      </c>
      <c r="G69">
        <v>0.57409554356472892</v>
      </c>
      <c r="H69">
        <v>5.9746079163554899E-2</v>
      </c>
      <c r="I69">
        <v>0.24184320076387758</v>
      </c>
      <c r="J69" t="str">
        <f t="shared" si="3"/>
        <v>1_512_0.0005_200_32</v>
      </c>
      <c r="K69" cm="1">
        <f t="array" ref="K69">IF(F69=1,
     H69 - _xlfn.XLOOKUP(1, (J:J=J69)*(F:F=0), H:H),
     _xlfn.XLOOKUP(1, (J:J=J69)*(F:F=1), H:H) - H69
)</f>
        <v>-2.1815035177984304E-3</v>
      </c>
      <c r="L69">
        <f t="shared" si="4"/>
        <v>0</v>
      </c>
      <c r="M69">
        <f t="shared" si="5"/>
        <v>0</v>
      </c>
    </row>
    <row r="70" spans="1:14" x14ac:dyDescent="0.35">
      <c r="L70">
        <f>SUM(L2:L69)</f>
        <v>19</v>
      </c>
      <c r="M70">
        <f>SUM(M2:M69)</f>
        <v>8</v>
      </c>
      <c r="N70">
        <f>68-L70-M70</f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88B6-D9BA-43B2-852C-8A9A8F67C128}">
  <dimension ref="A1:Y23"/>
  <sheetViews>
    <sheetView tabSelected="1" topLeftCell="J1" workbookViewId="0">
      <selection activeCell="L11" sqref="L11"/>
    </sheetView>
  </sheetViews>
  <sheetFormatPr defaultRowHeight="14.5" x14ac:dyDescent="0.35"/>
  <cols>
    <col min="1" max="7" width="17.90625" customWidth="1"/>
    <col min="11" max="18" width="17.36328125" customWidth="1"/>
    <col min="21" max="25" width="46.6328125" customWidth="1"/>
  </cols>
  <sheetData>
    <row r="1" spans="1:25" x14ac:dyDescent="0.35">
      <c r="A1" t="s">
        <v>24</v>
      </c>
      <c r="B1" t="str">
        <f>combined!P2</f>
        <v>batch size</v>
      </c>
      <c r="C1" t="str">
        <f>combined!Q2</f>
        <v>learning rate</v>
      </c>
      <c r="D1" t="str">
        <f>combined!R2</f>
        <v>epochs</v>
      </c>
      <c r="E1" t="str">
        <f>combined!S2</f>
        <v>msg per input</v>
      </c>
      <c r="F1" t="str">
        <f>combined!T2</f>
        <v>bfw</v>
      </c>
      <c r="G1" t="str">
        <f>combined!U2</f>
        <v>auc</v>
      </c>
      <c r="J1" t="s">
        <v>24</v>
      </c>
      <c r="K1" t="str">
        <f>combined!P2</f>
        <v>batch size</v>
      </c>
      <c r="L1" t="str">
        <f>combined!Q2</f>
        <v>learning rate</v>
      </c>
      <c r="M1" t="str">
        <f>combined!R2</f>
        <v>epochs</v>
      </c>
      <c r="N1" t="str">
        <f>combined!S2</f>
        <v>msg per input</v>
      </c>
      <c r="O1" t="str">
        <f>combined!T2</f>
        <v>bfw</v>
      </c>
      <c r="P1" t="str">
        <f>combined!U2</f>
        <v>auc</v>
      </c>
      <c r="Q1" t="str">
        <f>combined!V2</f>
        <v>max f1</v>
      </c>
      <c r="R1" t="str">
        <f>combined!W2</f>
        <v>max f1 threshhold</v>
      </c>
      <c r="T1" t="s">
        <v>24</v>
      </c>
      <c r="U1" t="str">
        <f>combined!O20</f>
        <v>Average AUC with BFW</v>
      </c>
      <c r="V1" t="str">
        <f>combined!P20</f>
        <v>Average AUC without BFW</v>
      </c>
      <c r="W1" t="str">
        <f>combined!Q20</f>
        <v>Difference in AUC mean with BFW - without BFW</v>
      </c>
      <c r="X1" t="str">
        <f>combined!R20</f>
        <v>AUC Mean T Test p-value</v>
      </c>
      <c r="Y1" t="str">
        <f>combined!S20</f>
        <v>Percent Improvement in AUC mean with BFW</v>
      </c>
    </row>
    <row r="2" spans="1:25" x14ac:dyDescent="0.35">
      <c r="A2" t="s">
        <v>25</v>
      </c>
      <c r="B2">
        <f>combined!P3</f>
        <v>512</v>
      </c>
      <c r="C2">
        <f>combined!Q3</f>
        <v>2E-3</v>
      </c>
      <c r="D2">
        <f>combined!R3</f>
        <v>1000</v>
      </c>
      <c r="E2">
        <f>combined!S3</f>
        <v>256</v>
      </c>
      <c r="F2">
        <f>combined!T3</f>
        <v>1</v>
      </c>
      <c r="G2">
        <f>combined!U3</f>
        <v>0.93214677060830897</v>
      </c>
      <c r="J2" t="s">
        <v>25</v>
      </c>
      <c r="K2">
        <f>combined!P5</f>
        <v>512</v>
      </c>
      <c r="L2">
        <f>combined!Q5</f>
        <v>2E-3</v>
      </c>
      <c r="M2">
        <f>combined!R5</f>
        <v>1000</v>
      </c>
      <c r="N2">
        <f>combined!S5</f>
        <v>256</v>
      </c>
      <c r="O2">
        <f>combined!T5</f>
        <v>1</v>
      </c>
      <c r="P2">
        <f>combined!U5</f>
        <v>0.93214677060830897</v>
      </c>
      <c r="Q2">
        <f>combined!V5</f>
        <v>0.18867924528301885</v>
      </c>
      <c r="R2">
        <f>combined!W5</f>
        <v>1.3812734922584222</v>
      </c>
      <c r="T2" t="s">
        <v>25</v>
      </c>
      <c r="U2">
        <f>combined!O21</f>
        <v>0.82609576200509049</v>
      </c>
      <c r="V2">
        <f>combined!P21</f>
        <v>0.81653983584785128</v>
      </c>
      <c r="W2">
        <f>combined!Q21</f>
        <v>9.555926157239214E-3</v>
      </c>
      <c r="X2">
        <f>combined!R21</f>
        <v>0.76154836513311586</v>
      </c>
      <c r="Y2">
        <f>combined!S21</f>
        <v>1.1702951574085607</v>
      </c>
    </row>
    <row r="3" spans="1:25" x14ac:dyDescent="0.35">
      <c r="A3" t="s">
        <v>26</v>
      </c>
      <c r="B3">
        <f>dos!P3</f>
        <v>512</v>
      </c>
      <c r="C3">
        <f>dos!Q3</f>
        <v>1E-4</v>
      </c>
      <c r="D3">
        <f>dos!R3</f>
        <v>1000</v>
      </c>
      <c r="E3">
        <f>dos!S3</f>
        <v>256</v>
      </c>
      <c r="F3">
        <f>dos!T3</f>
        <v>0</v>
      </c>
      <c r="G3">
        <f>dos!U3</f>
        <v>0.87194574052396412</v>
      </c>
      <c r="J3" t="s">
        <v>26</v>
      </c>
      <c r="K3">
        <f>dos!P5</f>
        <v>256</v>
      </c>
      <c r="L3">
        <f>dos!Q5</f>
        <v>1.8000000000000002E-3</v>
      </c>
      <c r="M3">
        <f>dos!R5</f>
        <v>1000</v>
      </c>
      <c r="N3">
        <f>dos!S5</f>
        <v>224</v>
      </c>
      <c r="O3">
        <f>dos!T5</f>
        <v>0</v>
      </c>
      <c r="P3">
        <f>dos!U5</f>
        <v>0.85944816053511708</v>
      </c>
      <c r="Q3">
        <f>dos!V5</f>
        <v>0.91271056661562022</v>
      </c>
      <c r="R3">
        <f>dos!W5</f>
        <v>0.45090364984103609</v>
      </c>
      <c r="T3" t="s">
        <v>26</v>
      </c>
      <c r="U3">
        <f>dos!O21</f>
        <v>0.80550158038688213</v>
      </c>
      <c r="V3">
        <f>dos!P21</f>
        <v>0.81437112211182772</v>
      </c>
      <c r="W3">
        <f>dos!Q21</f>
        <v>-8.8695417249455843E-3</v>
      </c>
      <c r="X3">
        <f>dos!R21</f>
        <v>0.71461428665302273</v>
      </c>
      <c r="Y3">
        <f>dos!S21</f>
        <v>-1.0891277310945264</v>
      </c>
    </row>
    <row r="4" spans="1:25" x14ac:dyDescent="0.35">
      <c r="A4" t="s">
        <v>27</v>
      </c>
      <c r="B4">
        <f>fuzzy!P3</f>
        <v>512</v>
      </c>
      <c r="C4">
        <f>fuzzy!Q3</f>
        <v>5.0000000000000001E-4</v>
      </c>
      <c r="D4">
        <f>fuzzy!R3</f>
        <v>1000</v>
      </c>
      <c r="E4">
        <f>fuzzy!S3</f>
        <v>128</v>
      </c>
      <c r="F4">
        <f>fuzzy!T3</f>
        <v>0</v>
      </c>
      <c r="G4">
        <f>fuzzy!U3</f>
        <v>0.99966169192508592</v>
      </c>
      <c r="J4" t="s">
        <v>27</v>
      </c>
      <c r="K4">
        <f>fuzzy!P5</f>
        <v>512</v>
      </c>
      <c r="L4">
        <f>fuzzy!Q5</f>
        <v>2E-3</v>
      </c>
      <c r="M4">
        <f>fuzzy!R5</f>
        <v>1000</v>
      </c>
      <c r="N4">
        <f>fuzzy!S5</f>
        <v>224</v>
      </c>
      <c r="O4">
        <f>fuzzy!T5</f>
        <v>0</v>
      </c>
      <c r="P4">
        <f>fuzzy!U5</f>
        <v>0.99917370920511595</v>
      </c>
      <c r="Q4">
        <f>fuzzy!V5</f>
        <v>0.99882214369846889</v>
      </c>
      <c r="R4">
        <f>fuzzy!W5</f>
        <v>0.78901705632404395</v>
      </c>
      <c r="T4" t="s">
        <v>27</v>
      </c>
      <c r="U4">
        <f>fuzzy!O21</f>
        <v>0.97779924086130876</v>
      </c>
      <c r="V4">
        <f>fuzzy!P21</f>
        <v>0.97712208231927566</v>
      </c>
      <c r="W4">
        <f>fuzzy!Q21</f>
        <v>6.7715854203309611E-4</v>
      </c>
      <c r="X4">
        <f>fuzzy!R21</f>
        <v>0.97296619040307408</v>
      </c>
      <c r="Y4">
        <f>fuzzy!S21</f>
        <v>6.9301324193370734E-2</v>
      </c>
    </row>
    <row r="5" spans="1:25" x14ac:dyDescent="0.35">
      <c r="A5" t="s">
        <v>28</v>
      </c>
      <c r="B5">
        <f>gear!P3</f>
        <v>512</v>
      </c>
      <c r="C5">
        <f>gear!Q3</f>
        <v>2E-3</v>
      </c>
      <c r="D5">
        <f>gear!R3</f>
        <v>1000</v>
      </c>
      <c r="E5">
        <f>gear!S3</f>
        <v>256</v>
      </c>
      <c r="F5">
        <f>gear!T3</f>
        <v>1</v>
      </c>
      <c r="G5">
        <f>gear!U3</f>
        <v>0.90093119014789491</v>
      </c>
      <c r="J5" t="s">
        <v>28</v>
      </c>
      <c r="K5">
        <f>gear!P5</f>
        <v>512</v>
      </c>
      <c r="L5">
        <f>gear!Q5</f>
        <v>2E-3</v>
      </c>
      <c r="M5">
        <f>gear!R5</f>
        <v>1000</v>
      </c>
      <c r="N5">
        <f>gear!S5</f>
        <v>256</v>
      </c>
      <c r="O5">
        <f>gear!T5</f>
        <v>1</v>
      </c>
      <c r="P5">
        <f>gear!U5</f>
        <v>0.90093119014789491</v>
      </c>
      <c r="Q5">
        <f>gear!V5</f>
        <v>0.21580928481806777</v>
      </c>
      <c r="R5">
        <f>gear!W5</f>
        <v>0.54480590838558829</v>
      </c>
      <c r="T5" t="s">
        <v>28</v>
      </c>
      <c r="U5">
        <f>gear!O21</f>
        <v>0.68350909709283514</v>
      </c>
      <c r="V5">
        <f>gear!P21</f>
        <v>0.65728403192129059</v>
      </c>
      <c r="W5">
        <f>gear!Q21</f>
        <v>2.6225065171544548E-2</v>
      </c>
      <c r="X5">
        <f>gear!R21</f>
        <v>0.47752617334466141</v>
      </c>
      <c r="Y5">
        <f>gear!S21</f>
        <v>3.9899136291028876</v>
      </c>
    </row>
    <row r="6" spans="1:25" x14ac:dyDescent="0.35">
      <c r="A6" t="s">
        <v>29</v>
      </c>
      <c r="B6">
        <f>interval!P3</f>
        <v>512</v>
      </c>
      <c r="C6">
        <f>interval!Q3</f>
        <v>5.0000000000000001E-4</v>
      </c>
      <c r="D6">
        <f>interval!R3</f>
        <v>1000</v>
      </c>
      <c r="E6">
        <f>interval!S3</f>
        <v>32</v>
      </c>
      <c r="F6">
        <f>interval!T3</f>
        <v>1</v>
      </c>
      <c r="G6">
        <f>interval!U3</f>
        <v>0.70823391632551758</v>
      </c>
      <c r="J6" t="s">
        <v>29</v>
      </c>
      <c r="K6">
        <f>interval!P5</f>
        <v>512</v>
      </c>
      <c r="L6">
        <f>interval!Q5</f>
        <v>1E-4</v>
      </c>
      <c r="M6">
        <f>interval!R5</f>
        <v>1000</v>
      </c>
      <c r="N6">
        <f>interval!S5</f>
        <v>256</v>
      </c>
      <c r="O6">
        <f>interval!T5</f>
        <v>1</v>
      </c>
      <c r="P6">
        <f>interval!U5</f>
        <v>0.19067103109656303</v>
      </c>
      <c r="Q6">
        <f>interval!V5</f>
        <v>0.99349417186229338</v>
      </c>
      <c r="R6">
        <f>interval!W5</f>
        <v>0.31387564539909363</v>
      </c>
      <c r="T6" t="s">
        <v>29</v>
      </c>
      <c r="U6">
        <f>interval!O21</f>
        <v>0.57230236893707986</v>
      </c>
      <c r="V6">
        <f>interval!P21</f>
        <v>0.56402898101547916</v>
      </c>
      <c r="W6">
        <f>interval!Q21</f>
        <v>8.2733879216007056E-3</v>
      </c>
      <c r="X6">
        <f>interval!R21</f>
        <v>0.84092411014829371</v>
      </c>
      <c r="Y6">
        <f>interval!S21</f>
        <v>1.4668373789419966</v>
      </c>
    </row>
    <row r="7" spans="1:25" x14ac:dyDescent="0.35">
      <c r="A7" t="s">
        <v>30</v>
      </c>
      <c r="B7">
        <f>rpm!P3</f>
        <v>512</v>
      </c>
      <c r="C7">
        <f>rpm!Q3</f>
        <v>2E-3</v>
      </c>
      <c r="D7">
        <f>rpm!R3</f>
        <v>1000</v>
      </c>
      <c r="E7">
        <f>rpm!S3</f>
        <v>256</v>
      </c>
      <c r="F7">
        <f>rpm!T3</f>
        <v>1</v>
      </c>
      <c r="G7">
        <f>rpm!U3</f>
        <v>0.90610661268556014</v>
      </c>
      <c r="J7" t="s">
        <v>30</v>
      </c>
      <c r="K7">
        <f>rpm!P5</f>
        <v>512</v>
      </c>
      <c r="L7">
        <f>rpm!Q5</f>
        <v>2E-3</v>
      </c>
      <c r="M7">
        <f>rpm!R5</f>
        <v>1000</v>
      </c>
      <c r="N7">
        <f>rpm!S5</f>
        <v>256</v>
      </c>
      <c r="O7">
        <f>rpm!T5</f>
        <v>1</v>
      </c>
      <c r="P7">
        <f>rpm!U5</f>
        <v>0.90610661268556014</v>
      </c>
      <c r="Q7">
        <f>rpm!V5</f>
        <v>0.2752808988764045</v>
      </c>
      <c r="R7">
        <f>rpm!W5</f>
        <v>0.61349822732867021</v>
      </c>
      <c r="T7" t="s">
        <v>30</v>
      </c>
      <c r="U7">
        <f>rpm!O21</f>
        <v>0.79943464979344947</v>
      </c>
      <c r="V7">
        <f>rpm!P21</f>
        <v>0.78584083723461007</v>
      </c>
      <c r="W7">
        <f>rpm!Q21</f>
        <v>1.3593812558839402E-2</v>
      </c>
      <c r="X7">
        <f>rpm!R21</f>
        <v>0.64711528467359447</v>
      </c>
      <c r="Y7">
        <f>rpm!S21</f>
        <v>1.7298429802498307</v>
      </c>
    </row>
    <row r="8" spans="1:25" x14ac:dyDescent="0.35">
      <c r="A8" t="s">
        <v>31</v>
      </c>
      <c r="B8">
        <f>speed!P3</f>
        <v>512</v>
      </c>
      <c r="C8">
        <f>speed!Q3</f>
        <v>5.0000000000000001E-4</v>
      </c>
      <c r="D8">
        <f>speed!R3</f>
        <v>1000</v>
      </c>
      <c r="E8">
        <f>speed!S3</f>
        <v>256</v>
      </c>
      <c r="F8">
        <f>speed!T3</f>
        <v>1</v>
      </c>
      <c r="G8">
        <f>speed!U3</f>
        <v>0.85748067340507905</v>
      </c>
      <c r="J8" t="s">
        <v>31</v>
      </c>
      <c r="K8">
        <f>speed!P5</f>
        <v>512</v>
      </c>
      <c r="L8">
        <f>speed!Q5</f>
        <v>5.0000000000000001E-4</v>
      </c>
      <c r="M8">
        <f>speed!R5</f>
        <v>1000</v>
      </c>
      <c r="N8">
        <f>speed!S5</f>
        <v>256</v>
      </c>
      <c r="O8">
        <f>speed!T5</f>
        <v>1</v>
      </c>
      <c r="P8">
        <f>speed!U5</f>
        <v>0.85748067340507905</v>
      </c>
      <c r="Q8">
        <f>speed!V5</f>
        <v>0.11801242236024843</v>
      </c>
      <c r="R8">
        <f>speed!W5</f>
        <v>0.56388202978640178</v>
      </c>
      <c r="T8" t="s">
        <v>31</v>
      </c>
      <c r="U8">
        <f>speed!O21</f>
        <v>0.76380142880414281</v>
      </c>
      <c r="V8">
        <f>speed!P21</f>
        <v>0.75940411308382028</v>
      </c>
      <c r="W8">
        <f>speed!Q21</f>
        <v>4.3973157203225366E-3</v>
      </c>
      <c r="X8">
        <f>speed!R21</f>
        <v>0.80466764777765065</v>
      </c>
      <c r="Y8">
        <f>speed!S21</f>
        <v>0.57904818324801155</v>
      </c>
    </row>
    <row r="9" spans="1:25" x14ac:dyDescent="0.35">
      <c r="A9" t="s">
        <v>32</v>
      </c>
      <c r="B9">
        <f>standstill!P3</f>
        <v>512</v>
      </c>
      <c r="C9">
        <f>standstill!Q3</f>
        <v>2E-3</v>
      </c>
      <c r="D9">
        <f>standstill!R3</f>
        <v>1000</v>
      </c>
      <c r="E9">
        <f>standstill!S3</f>
        <v>256</v>
      </c>
      <c r="F9">
        <f>standstill!T3</f>
        <v>1</v>
      </c>
      <c r="G9">
        <f>standstill!U3</f>
        <v>0.90683439367649876</v>
      </c>
      <c r="J9" t="s">
        <v>32</v>
      </c>
      <c r="K9">
        <f>standstill!P5</f>
        <v>512</v>
      </c>
      <c r="L9">
        <f>standstill!Q5</f>
        <v>2E-3</v>
      </c>
      <c r="M9">
        <f>standstill!R5</f>
        <v>1000</v>
      </c>
      <c r="N9">
        <f>standstill!S5</f>
        <v>256</v>
      </c>
      <c r="O9">
        <f>standstill!T5</f>
        <v>1</v>
      </c>
      <c r="P9">
        <f>standstill!U5</f>
        <v>0.90683439367649876</v>
      </c>
      <c r="Q9">
        <f>standstill!V5</f>
        <v>0.27777777777777779</v>
      </c>
      <c r="R9">
        <f>standstill!W5</f>
        <v>0.59534358917450425</v>
      </c>
      <c r="T9" t="s">
        <v>32</v>
      </c>
      <c r="U9">
        <f>standstill!O21</f>
        <v>0.79716841501639124</v>
      </c>
      <c r="V9">
        <f>standstill!P21</f>
        <v>0.78611839385577831</v>
      </c>
      <c r="W9">
        <f>standstill!Q21</f>
        <v>1.1050021160612933E-2</v>
      </c>
      <c r="X9">
        <f>standstill!R21</f>
        <v>0.70284111562890139</v>
      </c>
      <c r="Y9">
        <f>standstill!S21</f>
        <v>1.405643379798613</v>
      </c>
    </row>
    <row r="15" spans="1:25" x14ac:dyDescent="0.35">
      <c r="T15" t="s">
        <v>24</v>
      </c>
      <c r="U15" t="str">
        <f>combined!O26</f>
        <v>Average F1 with BFW</v>
      </c>
      <c r="V15" t="str">
        <f>combined!P26</f>
        <v>Average F1 without BFW</v>
      </c>
      <c r="W15" t="str">
        <f>combined!Q26</f>
        <v>Difference in F1 mean with BFW - without BFW</v>
      </c>
      <c r="X15" t="str">
        <f>combined!R26</f>
        <v>F1 Mean T Test p-value</v>
      </c>
      <c r="Y15" t="str">
        <f>combined!S26</f>
        <v>Percent Improvement in AUC mean with BFW</v>
      </c>
    </row>
    <row r="16" spans="1:25" x14ac:dyDescent="0.35">
      <c r="T16" t="s">
        <v>25</v>
      </c>
      <c r="U16">
        <f>combined!O27</f>
        <v>0.11797939130016175</v>
      </c>
      <c r="V16">
        <f>combined!P27</f>
        <v>0.1119590037367621</v>
      </c>
      <c r="W16">
        <f>combined!Q27</f>
        <v>6.0203875633996484E-3</v>
      </c>
      <c r="X16">
        <f>combined!R27</f>
        <v>0.59071569564903825</v>
      </c>
      <c r="Y16">
        <f>combined!S27</f>
        <v>5.3773143404837525</v>
      </c>
    </row>
    <row r="17" spans="20:25" x14ac:dyDescent="0.35">
      <c r="T17" t="s">
        <v>26</v>
      </c>
      <c r="U17">
        <f>dos!O27</f>
        <v>0.86421745200044542</v>
      </c>
      <c r="V17">
        <f>dos!P27</f>
        <v>0.87296777183417207</v>
      </c>
      <c r="W17">
        <f>dos!Q27</f>
        <v>-8.7503198337266497E-3</v>
      </c>
      <c r="X17">
        <f>dos!R27</f>
        <v>0.59145095165629291</v>
      </c>
      <c r="Y17">
        <f>dos!S27</f>
        <v>-1.0023645907731</v>
      </c>
    </row>
    <row r="18" spans="20:25" x14ac:dyDescent="0.35">
      <c r="T18" t="s">
        <v>27</v>
      </c>
      <c r="U18">
        <f>fuzzy!O27</f>
        <v>0.94583644718549154</v>
      </c>
      <c r="V18">
        <f>fuzzy!P27</f>
        <v>0.94479022261718804</v>
      </c>
      <c r="W18">
        <f>fuzzy!Q27</f>
        <v>1.0462245683034999E-3</v>
      </c>
      <c r="X18">
        <f>fuzzy!R27</f>
        <v>0.97735324238378785</v>
      </c>
      <c r="Y18">
        <f>fuzzy!S27</f>
        <v>0.11073617648215345</v>
      </c>
    </row>
    <row r="19" spans="20:25" x14ac:dyDescent="0.35">
      <c r="T19" t="s">
        <v>28</v>
      </c>
      <c r="U19">
        <f>gear!O27</f>
        <v>8.6892498974633622E-2</v>
      </c>
      <c r="V19">
        <f>gear!P27</f>
        <v>7.8125988288517662E-2</v>
      </c>
      <c r="W19">
        <f>gear!Q27</f>
        <v>8.7665106861159608E-3</v>
      </c>
      <c r="X19">
        <f>gear!R27</f>
        <v>0.37861893069880648</v>
      </c>
      <c r="Y19">
        <f>gear!S27</f>
        <v>11.220991731639179</v>
      </c>
    </row>
    <row r="20" spans="20:25" x14ac:dyDescent="0.35">
      <c r="T20" t="s">
        <v>29</v>
      </c>
      <c r="U20">
        <f>interval!O27</f>
        <v>0.79300802211526455</v>
      </c>
      <c r="V20">
        <f>interval!P27</f>
        <v>0.78684244749076027</v>
      </c>
      <c r="W20">
        <f>interval!Q27</f>
        <v>6.1655746245042886E-3</v>
      </c>
      <c r="X20">
        <f>interval!R27</f>
        <v>0.91155091619868567</v>
      </c>
      <c r="Y20">
        <f>interval!S27</f>
        <v>0.78358439407613301</v>
      </c>
    </row>
    <row r="21" spans="20:25" x14ac:dyDescent="0.35">
      <c r="T21" t="s">
        <v>30</v>
      </c>
      <c r="U21">
        <f>rpm!O27</f>
        <v>0.16173816410275785</v>
      </c>
      <c r="V21">
        <f>rpm!P27</f>
        <v>0.15207017320734428</v>
      </c>
      <c r="W21">
        <f>rpm!Q27</f>
        <v>9.667990895413564E-3</v>
      </c>
      <c r="X21">
        <f>rpm!R27</f>
        <v>0.48439943581725409</v>
      </c>
      <c r="Y21">
        <f>rpm!S27</f>
        <v>6.3575852460110465</v>
      </c>
    </row>
    <row r="22" spans="20:25" x14ac:dyDescent="0.35">
      <c r="T22" t="s">
        <v>31</v>
      </c>
      <c r="U22">
        <f>speed!O27</f>
        <v>7.5177554653449913E-2</v>
      </c>
      <c r="V22">
        <f>speed!P27</f>
        <v>7.330032929013261E-2</v>
      </c>
      <c r="W22">
        <f>speed!Q27</f>
        <v>1.8772253633173031E-3</v>
      </c>
      <c r="X22">
        <f>speed!R27</f>
        <v>0.68901666274923823</v>
      </c>
      <c r="Y22">
        <f>speed!S27</f>
        <v>2.561005361772648</v>
      </c>
    </row>
    <row r="23" spans="20:25" x14ac:dyDescent="0.35">
      <c r="T23" t="s">
        <v>32</v>
      </c>
      <c r="U23">
        <f>standstill!O27</f>
        <v>0.16207982447094804</v>
      </c>
      <c r="V23">
        <f>standstill!P27</f>
        <v>0.15560588676715262</v>
      </c>
      <c r="W23">
        <f>standstill!Q27</f>
        <v>6.4739377037954238E-3</v>
      </c>
      <c r="X23">
        <f>standstill!R27</f>
        <v>0.64439001883757796</v>
      </c>
      <c r="Y23">
        <f>standstill!S27</f>
        <v>4.160470942518371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A5565CB5710D4EA1A5598A6F2DBD1C" ma:contentTypeVersion="13" ma:contentTypeDescription="Create a new document." ma:contentTypeScope="" ma:versionID="e5242910c4c4065823b8f11f229ffcb4">
  <xsd:schema xmlns:xsd="http://www.w3.org/2001/XMLSchema" xmlns:xs="http://www.w3.org/2001/XMLSchema" xmlns:p="http://schemas.microsoft.com/office/2006/metadata/properties" xmlns:ns3="8103399b-5282-4fc1-861c-b3f4b3aff332" xmlns:ns4="77bb39aa-9528-416c-aa49-2688e1810c7e" targetNamespace="http://schemas.microsoft.com/office/2006/metadata/properties" ma:root="true" ma:fieldsID="b8673bc31f8cf860341c490a557fc309" ns3:_="" ns4:_="">
    <xsd:import namespace="8103399b-5282-4fc1-861c-b3f4b3aff332"/>
    <xsd:import namespace="77bb39aa-9528-416c-aa49-2688e1810c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3399b-5282-4fc1-861c-b3f4b3aff3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b39aa-9528-416c-aa49-2688e1810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03399b-5282-4fc1-861c-b3f4b3aff332" xsi:nil="true"/>
  </documentManagement>
</p:properties>
</file>

<file path=customXml/itemProps1.xml><?xml version="1.0" encoding="utf-8"?>
<ds:datastoreItem xmlns:ds="http://schemas.openxmlformats.org/officeDocument/2006/customXml" ds:itemID="{8F87F8EC-295E-4BA0-B276-74A18936B3E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DA2509D-F11B-4CB5-8051-195664FCF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03399b-5282-4fc1-861c-b3f4b3aff332"/>
    <ds:schemaRef ds:uri="77bb39aa-9528-416c-aa49-2688e1810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76B385-63F2-447E-BC5F-24322F71956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047C590-5734-4658-B39A-65A5AB7950DB}">
  <ds:schemaRefs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77bb39aa-9528-416c-aa49-2688e1810c7e"/>
    <ds:schemaRef ds:uri="8103399b-5282-4fc1-861c-b3f4b3aff33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combined</vt:lpstr>
      <vt:lpstr>dos</vt:lpstr>
      <vt:lpstr>fuzzy</vt:lpstr>
      <vt:lpstr>gear</vt:lpstr>
      <vt:lpstr>interval</vt:lpstr>
      <vt:lpstr>rpm</vt:lpstr>
      <vt:lpstr>speed</vt:lpstr>
      <vt:lpstr>standstill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Giegengack, Phineas C</dc:creator>
  <cp:lastModifiedBy>Giegengack, Phineas C</cp:lastModifiedBy>
  <cp:lastPrinted>2025-12-02T11:36:23Z</cp:lastPrinted>
  <dcterms:created xsi:type="dcterms:W3CDTF">2025-12-02T06:22:03Z</dcterms:created>
  <dcterms:modified xsi:type="dcterms:W3CDTF">2025-12-02T11:38:12Z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0x0101003DA5565CB5710D4EA1A5598A6F2DBD1C</vt:lpwstr>
  </property>
</Properties>
</file>